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jo\Downloads\"/>
    </mc:Choice>
  </mc:AlternateContent>
  <xr:revisionPtr revIDLastSave="0" documentId="13_ncr:1_{1F80C7B2-9EA5-46BA-9E52-48B6A9E52D1A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Respuestas de formulario 1" sheetId="1" state="hidden" r:id="rId1"/>
    <sheet name="Expertos" sheetId="3" state="hidden" r:id="rId2"/>
    <sheet name="Hoja2" sheetId="5" state="hidden" r:id="rId3"/>
    <sheet name="Hoja1" sheetId="4" state="hidden" r:id="rId4"/>
    <sheet name="FINAL" sheetId="6" r:id="rId5"/>
  </sheets>
  <definedNames>
    <definedName name="_xlnm._FilterDatabase" localSheetId="1" hidden="1">Expertos!$A$1:$AP$119</definedName>
    <definedName name="_xlnm._FilterDatabase" localSheetId="4" hidden="1">FINAL!$A$1:$N$65</definedName>
    <definedName name="_xlnm._FilterDatabase" localSheetId="3" hidden="1">Hoja1!$A$1:$G$52</definedName>
    <definedName name="_xlnm._FilterDatabase" localSheetId="2" hidden="1">Hoja2!$A$1:$G$119</definedName>
    <definedName name="_xlnm._FilterDatabase" localSheetId="0" hidden="1">'Respuestas de formulario 1'!$A$1:$KF$67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3" l="1"/>
  <c r="N3" i="3"/>
  <c r="P4" i="3"/>
  <c r="P5" i="3"/>
  <c r="P6" i="3"/>
  <c r="P7" i="3"/>
  <c r="P8" i="3"/>
  <c r="P9" i="3"/>
  <c r="P10" i="3"/>
  <c r="P11" i="3"/>
  <c r="P13" i="3"/>
  <c r="P14" i="3"/>
  <c r="P15" i="3"/>
  <c r="P16" i="3"/>
  <c r="P17" i="3"/>
  <c r="P18" i="3"/>
  <c r="P19" i="3"/>
  <c r="P20" i="3"/>
  <c r="P21" i="3"/>
  <c r="P22" i="3"/>
  <c r="P24" i="3"/>
  <c r="P25" i="3"/>
  <c r="P26" i="3"/>
  <c r="P27" i="3"/>
  <c r="P28" i="3"/>
  <c r="P29" i="3"/>
  <c r="P30" i="3"/>
  <c r="P31" i="3"/>
  <c r="P32" i="3"/>
  <c r="P33" i="3"/>
  <c r="P35" i="3"/>
  <c r="P36" i="3"/>
  <c r="P37" i="3"/>
  <c r="P38" i="3"/>
  <c r="P39" i="3"/>
  <c r="P40" i="3"/>
  <c r="P42" i="3"/>
  <c r="P43" i="3"/>
  <c r="P44" i="3"/>
  <c r="P45" i="3"/>
  <c r="P46" i="3"/>
  <c r="P47" i="3"/>
  <c r="P48" i="3"/>
  <c r="P49" i="3"/>
  <c r="P50" i="3"/>
  <c r="P51" i="3"/>
  <c r="P52" i="3"/>
  <c r="P54" i="3"/>
  <c r="P55" i="3"/>
  <c r="P56" i="3"/>
  <c r="P57" i="3"/>
  <c r="P58" i="3"/>
  <c r="P59" i="3"/>
  <c r="P60" i="3"/>
  <c r="P61" i="3"/>
  <c r="P62" i="3"/>
  <c r="P63" i="3"/>
  <c r="P65" i="3"/>
  <c r="P66" i="3"/>
  <c r="P67" i="3"/>
  <c r="P68" i="3"/>
  <c r="P69" i="3"/>
  <c r="P70" i="3"/>
  <c r="P71" i="3"/>
  <c r="P72" i="3"/>
  <c r="P73" i="3"/>
  <c r="P74" i="3"/>
  <c r="P75" i="3"/>
  <c r="P79" i="3"/>
  <c r="P80" i="3"/>
  <c r="P81" i="3"/>
  <c r="P82" i="3"/>
  <c r="P83" i="3"/>
  <c r="P84" i="3"/>
  <c r="P86" i="3"/>
  <c r="P87" i="3"/>
  <c r="P88" i="3"/>
  <c r="P89" i="3"/>
  <c r="P93" i="3"/>
  <c r="P94" i="3"/>
  <c r="P95" i="3"/>
  <c r="P96" i="3"/>
  <c r="P97" i="3"/>
  <c r="P98" i="3"/>
  <c r="P99" i="3"/>
  <c r="P100" i="3"/>
  <c r="P101" i="3"/>
  <c r="P102" i="3"/>
  <c r="P104" i="3"/>
  <c r="P105" i="3"/>
  <c r="P106" i="3"/>
  <c r="P107" i="3"/>
  <c r="P108" i="3"/>
  <c r="P109" i="3"/>
  <c r="P110" i="3"/>
  <c r="P112" i="3"/>
  <c r="P113" i="3"/>
  <c r="P114" i="3"/>
  <c r="P115" i="3"/>
  <c r="P116" i="3"/>
  <c r="P117" i="3"/>
  <c r="P3" i="3"/>
  <c r="U119" i="3"/>
  <c r="U118" i="3"/>
  <c r="U117" i="3"/>
  <c r="U116" i="3"/>
  <c r="U110" i="3"/>
  <c r="U109" i="3"/>
  <c r="U108" i="3"/>
  <c r="U107" i="3"/>
  <c r="U106" i="3"/>
  <c r="U102" i="3"/>
  <c r="U101" i="3"/>
  <c r="U100" i="3"/>
  <c r="U99" i="3"/>
  <c r="U98" i="3"/>
  <c r="U97" i="3"/>
  <c r="U91" i="3"/>
  <c r="U90" i="3"/>
  <c r="U89" i="3"/>
  <c r="U88" i="3"/>
  <c r="U84" i="3"/>
  <c r="U83" i="3"/>
  <c r="U82" i="3"/>
  <c r="U81" i="3"/>
  <c r="U76" i="3"/>
  <c r="U77" i="3"/>
  <c r="U75" i="3"/>
  <c r="U74" i="3"/>
  <c r="U73" i="3"/>
  <c r="U72" i="3"/>
  <c r="U71" i="3"/>
  <c r="U63" i="3"/>
  <c r="U62" i="3"/>
  <c r="U61" i="3"/>
  <c r="U60" i="3"/>
  <c r="U59" i="3"/>
  <c r="U52" i="3"/>
  <c r="U51" i="3"/>
  <c r="U50" i="3"/>
  <c r="U49" i="3"/>
  <c r="U48" i="3"/>
  <c r="U40" i="3"/>
  <c r="U39" i="3"/>
  <c r="U38" i="3"/>
  <c r="U37" i="3"/>
  <c r="U36" i="3"/>
  <c r="U29" i="3"/>
  <c r="U30" i="3"/>
  <c r="U31" i="3"/>
  <c r="U32" i="3"/>
  <c r="U33" i="3"/>
  <c r="U28" i="3"/>
  <c r="U17" i="3" l="1"/>
  <c r="U18" i="3"/>
  <c r="U19" i="3"/>
  <c r="U20" i="3"/>
  <c r="U21" i="3"/>
  <c r="U22" i="3"/>
  <c r="O3" i="3"/>
  <c r="N4" i="3"/>
  <c r="N5" i="3"/>
  <c r="N6" i="3"/>
  <c r="O6" i="3" s="1"/>
  <c r="N7" i="3"/>
  <c r="O7" i="3" s="1"/>
  <c r="N8" i="3"/>
  <c r="N9" i="3"/>
  <c r="N10" i="3"/>
  <c r="O10" i="3" s="1"/>
  <c r="N11" i="3"/>
  <c r="O11" i="3" s="1"/>
  <c r="N12" i="3"/>
  <c r="N13" i="3"/>
  <c r="N14" i="3"/>
  <c r="O14" i="3" s="1"/>
  <c r="N15" i="3"/>
  <c r="O15" i="3" s="1"/>
  <c r="N16" i="3"/>
  <c r="N17" i="3"/>
  <c r="N18" i="3"/>
  <c r="O18" i="3" s="1"/>
  <c r="N19" i="3"/>
  <c r="O19" i="3" s="1"/>
  <c r="N20" i="3"/>
  <c r="N21" i="3"/>
  <c r="N22" i="3"/>
  <c r="N23" i="3"/>
  <c r="N24" i="3"/>
  <c r="N25" i="3"/>
  <c r="N26" i="3"/>
  <c r="N27" i="3"/>
  <c r="O27" i="3" s="1"/>
  <c r="N28" i="3"/>
  <c r="N29" i="3"/>
  <c r="N30" i="3"/>
  <c r="N31" i="3"/>
  <c r="O31" i="3" s="1"/>
  <c r="N32" i="3"/>
  <c r="O33" i="3" s="1"/>
  <c r="N33" i="3"/>
  <c r="N34" i="3"/>
  <c r="N35" i="3"/>
  <c r="O35" i="3" s="1"/>
  <c r="N36" i="3"/>
  <c r="N37" i="3"/>
  <c r="N38" i="3"/>
  <c r="N39" i="3"/>
  <c r="O39" i="3" s="1"/>
  <c r="N40" i="3"/>
  <c r="N41" i="3"/>
  <c r="N42" i="3"/>
  <c r="N43" i="3"/>
  <c r="O43" i="3" s="1"/>
  <c r="N44" i="3"/>
  <c r="N45" i="3"/>
  <c r="N46" i="3"/>
  <c r="N47" i="3"/>
  <c r="N48" i="3"/>
  <c r="O49" i="3" s="1"/>
  <c r="N49" i="3"/>
  <c r="N50" i="3"/>
  <c r="N51" i="3"/>
  <c r="O51" i="3" s="1"/>
  <c r="N52" i="3"/>
  <c r="N53" i="3"/>
  <c r="N54" i="3"/>
  <c r="N55" i="3"/>
  <c r="O55" i="3" s="1"/>
  <c r="N56" i="3"/>
  <c r="N57" i="3"/>
  <c r="N58" i="3"/>
  <c r="N59" i="3"/>
  <c r="N60" i="3"/>
  <c r="O61" i="3" s="1"/>
  <c r="N61" i="3"/>
  <c r="N62" i="3"/>
  <c r="N63" i="3"/>
  <c r="O63" i="3" s="1"/>
  <c r="N64" i="3"/>
  <c r="O65" i="3" s="1"/>
  <c r="N65" i="3"/>
  <c r="N66" i="3"/>
  <c r="N67" i="3"/>
  <c r="O67" i="3" s="1"/>
  <c r="N68" i="3"/>
  <c r="N69" i="3"/>
  <c r="N70" i="3"/>
  <c r="N71" i="3"/>
  <c r="O71" i="3" s="1"/>
  <c r="N72" i="3"/>
  <c r="O73" i="3" s="1"/>
  <c r="N73" i="3"/>
  <c r="N74" i="3"/>
  <c r="N75" i="3"/>
  <c r="O75" i="3" s="1"/>
  <c r="N77" i="3"/>
  <c r="N78" i="3"/>
  <c r="N79" i="3"/>
  <c r="N80" i="3"/>
  <c r="N81" i="3"/>
  <c r="N82" i="3"/>
  <c r="N83" i="3"/>
  <c r="O83" i="3" s="1"/>
  <c r="N84" i="3"/>
  <c r="N85" i="3"/>
  <c r="N86" i="3"/>
  <c r="N87" i="3"/>
  <c r="O87" i="3" s="1"/>
  <c r="N88" i="3"/>
  <c r="N89" i="3"/>
  <c r="N91" i="3"/>
  <c r="N92" i="3"/>
  <c r="N93" i="3"/>
  <c r="O93" i="3" s="1"/>
  <c r="N94" i="3"/>
  <c r="N95" i="3"/>
  <c r="N96" i="3"/>
  <c r="O96" i="3" s="1"/>
  <c r="N97" i="3"/>
  <c r="O97" i="3" s="1"/>
  <c r="N98" i="3"/>
  <c r="N99" i="3"/>
  <c r="N100" i="3"/>
  <c r="N101" i="3"/>
  <c r="O101" i="3" s="1"/>
  <c r="N102" i="3"/>
  <c r="N103" i="3"/>
  <c r="N104" i="3"/>
  <c r="N105" i="3"/>
  <c r="O105" i="3" s="1"/>
  <c r="N106" i="3"/>
  <c r="N107" i="3"/>
  <c r="N108" i="3"/>
  <c r="N109" i="3"/>
  <c r="O109" i="3" s="1"/>
  <c r="N110" i="3"/>
  <c r="N111" i="3"/>
  <c r="N112" i="3"/>
  <c r="N113" i="3"/>
  <c r="O113" i="3" s="1"/>
  <c r="N114" i="3"/>
  <c r="N115" i="3"/>
  <c r="N116" i="3"/>
  <c r="N117" i="3"/>
  <c r="O117" i="3" s="1"/>
  <c r="N119" i="3"/>
  <c r="O116" i="3"/>
  <c r="O80" i="3" l="1"/>
  <c r="O112" i="3"/>
  <c r="O108" i="3"/>
  <c r="O104" i="3"/>
  <c r="O100" i="3"/>
  <c r="O45" i="3"/>
  <c r="O37" i="3"/>
  <c r="O29" i="3"/>
  <c r="O25" i="3"/>
  <c r="O21" i="3"/>
  <c r="O17" i="3"/>
  <c r="O13" i="3"/>
  <c r="O9" i="3"/>
  <c r="O5" i="3"/>
  <c r="O84" i="3"/>
  <c r="O44" i="3"/>
  <c r="O40" i="3"/>
  <c r="O36" i="3"/>
  <c r="O32" i="3"/>
  <c r="O28" i="3"/>
  <c r="O24" i="3"/>
  <c r="O20" i="3"/>
  <c r="O16" i="3"/>
  <c r="O8" i="3"/>
  <c r="O4" i="3"/>
  <c r="O88" i="3"/>
  <c r="O59" i="3"/>
  <c r="O47" i="3"/>
  <c r="O46" i="3"/>
  <c r="O42" i="3"/>
  <c r="O38" i="3"/>
  <c r="O30" i="3"/>
  <c r="O26" i="3"/>
  <c r="O79" i="3"/>
  <c r="O74" i="3"/>
  <c r="O70" i="3"/>
  <c r="O66" i="3"/>
  <c r="O62" i="3"/>
  <c r="O58" i="3"/>
  <c r="O54" i="3"/>
  <c r="O50" i="3"/>
  <c r="O22" i="3"/>
  <c r="O86" i="3"/>
  <c r="O82" i="3"/>
  <c r="O69" i="3"/>
  <c r="O57" i="3"/>
  <c r="O115" i="3"/>
  <c r="O107" i="3"/>
  <c r="O99" i="3"/>
  <c r="O95" i="3"/>
  <c r="O114" i="3"/>
  <c r="O110" i="3"/>
  <c r="O106" i="3"/>
  <c r="O102" i="3"/>
  <c r="O98" i="3"/>
  <c r="O94" i="3"/>
  <c r="O89" i="3"/>
  <c r="O81" i="3"/>
  <c r="O72" i="3"/>
  <c r="O68" i="3"/>
  <c r="O60" i="3"/>
  <c r="O56" i="3"/>
  <c r="O52" i="3"/>
  <c r="O48" i="3"/>
  <c r="L118" i="3"/>
  <c r="M118" i="3"/>
  <c r="K118" i="3"/>
  <c r="I118" i="3"/>
  <c r="H118" i="3"/>
  <c r="G118" i="3"/>
  <c r="N118" i="3" s="1"/>
  <c r="F118" i="3"/>
  <c r="M90" i="3"/>
  <c r="L90" i="3"/>
  <c r="K90" i="3"/>
  <c r="J90" i="3"/>
  <c r="I90" i="3"/>
  <c r="H90" i="3"/>
  <c r="G90" i="3"/>
  <c r="F90" i="3"/>
  <c r="L76" i="3"/>
  <c r="M77" i="3"/>
  <c r="K76" i="3"/>
  <c r="J76" i="3"/>
  <c r="I76" i="3"/>
  <c r="H76" i="3"/>
  <c r="G76" i="3"/>
  <c r="F76" i="3"/>
  <c r="DT67" i="1"/>
  <c r="DS67" i="1"/>
  <c r="DT66" i="1"/>
  <c r="DS66" i="1"/>
  <c r="DT42" i="1"/>
  <c r="DS42" i="1"/>
  <c r="DP67" i="1"/>
  <c r="DO67" i="1"/>
  <c r="DP66" i="1"/>
  <c r="DO66" i="1"/>
  <c r="DP42" i="1"/>
  <c r="DO42" i="1"/>
  <c r="DT38" i="1"/>
  <c r="DS38" i="1"/>
  <c r="DP38" i="1"/>
  <c r="DO38" i="1"/>
  <c r="DL67" i="1"/>
  <c r="DK67" i="1"/>
  <c r="DL66" i="1"/>
  <c r="DK66" i="1"/>
  <c r="DL42" i="1"/>
  <c r="DK42" i="1"/>
  <c r="DL38" i="1"/>
  <c r="DK38" i="1"/>
  <c r="CX60" i="1"/>
  <c r="CW60" i="1"/>
  <c r="CX54" i="1"/>
  <c r="CW54" i="1"/>
  <c r="CX49" i="1"/>
  <c r="CW49" i="1"/>
  <c r="CX47" i="1"/>
  <c r="CW47" i="1"/>
  <c r="CX46" i="1"/>
  <c r="CW46" i="1"/>
  <c r="CX36" i="1"/>
  <c r="CW36" i="1"/>
  <c r="CX33" i="1"/>
  <c r="CW33" i="1"/>
  <c r="CX22" i="1"/>
  <c r="CW22" i="1"/>
  <c r="CX21" i="1"/>
  <c r="CW21" i="1"/>
  <c r="CX15" i="1"/>
  <c r="CW15" i="1"/>
  <c r="CT60" i="1"/>
  <c r="CS60" i="1"/>
  <c r="CT54" i="1"/>
  <c r="CS54" i="1"/>
  <c r="CT49" i="1"/>
  <c r="CS49" i="1"/>
  <c r="CT47" i="1"/>
  <c r="CS47" i="1"/>
  <c r="CT46" i="1"/>
  <c r="CS46" i="1"/>
  <c r="CT36" i="1"/>
  <c r="CS36" i="1"/>
  <c r="CT33" i="1"/>
  <c r="CS33" i="1"/>
  <c r="CT22" i="1"/>
  <c r="CS22" i="1"/>
  <c r="CT21" i="1"/>
  <c r="CS21" i="1"/>
  <c r="CT15" i="1"/>
  <c r="CS15" i="1"/>
  <c r="CX5" i="1"/>
  <c r="CW5" i="1"/>
  <c r="CT5" i="1"/>
  <c r="CS5" i="1"/>
  <c r="CP60" i="1"/>
  <c r="CO60" i="1"/>
  <c r="CP54" i="1"/>
  <c r="CO54" i="1"/>
  <c r="CP49" i="1"/>
  <c r="CO49" i="1"/>
  <c r="CP47" i="1"/>
  <c r="CP46" i="1"/>
  <c r="CO46" i="1"/>
  <c r="CP36" i="1"/>
  <c r="CO36" i="1"/>
  <c r="CP33" i="1"/>
  <c r="CO33" i="1"/>
  <c r="CP22" i="1"/>
  <c r="CO22" i="1"/>
  <c r="CP21" i="1"/>
  <c r="CO21" i="1"/>
  <c r="CP15" i="1"/>
  <c r="CO15" i="1"/>
  <c r="CP5" i="1"/>
  <c r="CO5" i="1"/>
  <c r="CB2" i="1"/>
  <c r="CA2" i="1"/>
  <c r="BZ2" i="1"/>
  <c r="BV2" i="1"/>
  <c r="BU2" i="1"/>
  <c r="BT2" i="1"/>
  <c r="BP3" i="1"/>
  <c r="BP2" i="1"/>
  <c r="BO2" i="1"/>
  <c r="BN2" i="1"/>
  <c r="CB63" i="1"/>
  <c r="CA63" i="1"/>
  <c r="BZ63" i="1"/>
  <c r="CB61" i="1"/>
  <c r="CA61" i="1"/>
  <c r="BZ61" i="1"/>
  <c r="CB56" i="1"/>
  <c r="CA56" i="1"/>
  <c r="BZ56" i="1"/>
  <c r="CB52" i="1"/>
  <c r="CA52" i="1"/>
  <c r="BZ52" i="1"/>
  <c r="CB50" i="1"/>
  <c r="CA50" i="1"/>
  <c r="BZ50" i="1"/>
  <c r="CB39" i="1"/>
  <c r="CA39" i="1"/>
  <c r="BZ39" i="1"/>
  <c r="CB24" i="1"/>
  <c r="CA24" i="1"/>
  <c r="BZ24" i="1"/>
  <c r="CB20" i="1"/>
  <c r="CA20" i="1"/>
  <c r="BZ20" i="1"/>
  <c r="CB14" i="1"/>
  <c r="CA14" i="1"/>
  <c r="BZ14" i="1"/>
  <c r="CB3" i="1"/>
  <c r="CA3" i="1"/>
  <c r="BZ3" i="1"/>
  <c r="BV63" i="1"/>
  <c r="BU63" i="1"/>
  <c r="BT63" i="1"/>
  <c r="BV61" i="1"/>
  <c r="BU61" i="1"/>
  <c r="BT61" i="1"/>
  <c r="BV56" i="1"/>
  <c r="BU56" i="1"/>
  <c r="BT56" i="1"/>
  <c r="BV52" i="1"/>
  <c r="BU52" i="1"/>
  <c r="BT52" i="1"/>
  <c r="BV50" i="1"/>
  <c r="BU50" i="1"/>
  <c r="BT50" i="1"/>
  <c r="BV39" i="1"/>
  <c r="BU39" i="1"/>
  <c r="BT39" i="1"/>
  <c r="BV24" i="1"/>
  <c r="BU24" i="1"/>
  <c r="BT24" i="1"/>
  <c r="BV20" i="1"/>
  <c r="BU20" i="1"/>
  <c r="BT20" i="1"/>
  <c r="BV14" i="1"/>
  <c r="BU14" i="1"/>
  <c r="BT14" i="1"/>
  <c r="BV3" i="1"/>
  <c r="BU3" i="1"/>
  <c r="BT3" i="1"/>
  <c r="BP63" i="1"/>
  <c r="BO63" i="1"/>
  <c r="BP61" i="1"/>
  <c r="BO61" i="1"/>
  <c r="BP56" i="1"/>
  <c r="BO56" i="1"/>
  <c r="BP52" i="1"/>
  <c r="BO52" i="1"/>
  <c r="BP50" i="1"/>
  <c r="BO50" i="1"/>
  <c r="BP39" i="1"/>
  <c r="BO39" i="1"/>
  <c r="BP24" i="1"/>
  <c r="BO24" i="1"/>
  <c r="BO20" i="1"/>
  <c r="BP14" i="1"/>
  <c r="BO14" i="1"/>
  <c r="BO3" i="1"/>
  <c r="BN63" i="1"/>
  <c r="BN61" i="1"/>
  <c r="BN56" i="1"/>
  <c r="BN52" i="1"/>
  <c r="BN50" i="1"/>
  <c r="BN39" i="1"/>
  <c r="BN24" i="1"/>
  <c r="BN20" i="1"/>
  <c r="BN14" i="1"/>
  <c r="BN3" i="1"/>
  <c r="W64" i="1"/>
  <c r="W44" i="1"/>
  <c r="W43" i="1"/>
  <c r="W32" i="1"/>
  <c r="W31" i="1"/>
  <c r="W30" i="1"/>
  <c r="W28" i="1"/>
  <c r="W16" i="1"/>
  <c r="W13" i="1"/>
  <c r="V64" i="1"/>
  <c r="V44" i="1"/>
  <c r="V43" i="1"/>
  <c r="V32" i="1"/>
  <c r="V31" i="1"/>
  <c r="V30" i="1"/>
  <c r="V28" i="1"/>
  <c r="V16" i="1"/>
  <c r="V13" i="1"/>
  <c r="W11" i="1"/>
  <c r="V11" i="1"/>
  <c r="S64" i="1"/>
  <c r="R64" i="1"/>
  <c r="S44" i="1"/>
  <c r="R44" i="1"/>
  <c r="S43" i="1"/>
  <c r="R43" i="1"/>
  <c r="S32" i="1"/>
  <c r="R32" i="1"/>
  <c r="S31" i="1"/>
  <c r="R31" i="1"/>
  <c r="S30" i="1"/>
  <c r="R30" i="1"/>
  <c r="S28" i="1"/>
  <c r="R28" i="1"/>
  <c r="S16" i="1"/>
  <c r="R16" i="1"/>
  <c r="S13" i="1"/>
  <c r="R13" i="1"/>
  <c r="S11" i="1"/>
  <c r="R11" i="1"/>
  <c r="O64" i="1"/>
  <c r="O44" i="1"/>
  <c r="O43" i="1"/>
  <c r="O32" i="1"/>
  <c r="O31" i="1"/>
  <c r="O30" i="1"/>
  <c r="O28" i="1"/>
  <c r="O16" i="1"/>
  <c r="O13" i="1"/>
  <c r="O11" i="1"/>
  <c r="N64" i="1"/>
  <c r="N44" i="1"/>
  <c r="N43" i="1"/>
  <c r="N32" i="1"/>
  <c r="N31" i="1"/>
  <c r="N30" i="1"/>
  <c r="N28" i="1"/>
  <c r="N16" i="1"/>
  <c r="N13" i="1"/>
  <c r="N11" i="1"/>
  <c r="P118" i="3" l="1"/>
  <c r="P119" i="3"/>
  <c r="N76" i="3"/>
  <c r="N90" i="3"/>
  <c r="O90" i="3" s="1"/>
  <c r="P77" i="3"/>
  <c r="P76" i="3"/>
  <c r="P91" i="3"/>
  <c r="P90" i="3"/>
  <c r="O118" i="3"/>
  <c r="O91" i="3" l="1"/>
  <c r="O119" i="3"/>
  <c r="O76" i="3"/>
  <c r="O77" i="3"/>
</calcChain>
</file>

<file path=xl/sharedStrings.xml><?xml version="1.0" encoding="utf-8"?>
<sst xmlns="http://schemas.openxmlformats.org/spreadsheetml/2006/main" count="1840" uniqueCount="474">
  <si>
    <t>Seleccione el país para el cual le hemos solicitado su opinión</t>
  </si>
  <si>
    <t>ARG1. Cuando se habla de política se utilizan normalmente las expresiones "izquierda" y "derecha". En una escala donde 1 es la posición más a la izquierda y 7 la posición más a la derecha, ¿del 1 al 7 qué valor le asigna usted a los gobiernos de los siguientes presidentes? [Mauricio Macri (2015-2019)]</t>
  </si>
  <si>
    <t>ARG1. Cuando se habla de política se utilizan normalmente las expresiones "izquierda" y "derecha". En una escala donde 1 es la posición más a la izquierda y 7 la posición más a la derecha, ¿del 1 al 7 qué valor le asigna usted a los gobiernos de los siguientes presidentes? [Alberto Fernández (2019-2023)]</t>
  </si>
  <si>
    <t>ARG2. En una escala en donde 1 es una política comercial extremadamente proteccionista y 7 una política comercial en extremo aperturista, ¿De 1 a 7 qué puntaje le asignaría usted a los gobiernos de los siguientes presidentes? [Mauricio Macri (2015-2019)]</t>
  </si>
  <si>
    <t>ARG2. En una escala en donde 1 es una política comercial extremadamente proteccionista y 7 una política comercial en extremo aperturista, ¿De 1 a 7 qué puntaje le asignaría usted a los gobiernos de los siguientes presidentes? [Alberto Fernández (2019-2023)]</t>
  </si>
  <si>
    <t>ARG3.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[Mauricio Macri (2015-2019)]</t>
  </si>
  <si>
    <t>ARG3.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[Alberto Fernández (2019-2023)]</t>
  </si>
  <si>
    <t>ARG4. En una escala donde 1 significa una concepción totalmente ideológica de la política exterior y 7 una concepción totalmente pragmática de la política exterior ¿De 1 a 7, qué valor le asignaría usted a los gobiernos de los siguientes presidentes? [Mauricio Macri (2015-2019)]</t>
  </si>
  <si>
    <t>ARG4. En una escala donde 1 significa una concepción totalmente ideológica de la política exterior y 7 una concepción totalmente pragmática de la política exterior ¿De 1 a 7, qué valor le asignaría usted a los gobiernos de los siguientes presidentes? [Alberto Fernández (2019-2023)]</t>
  </si>
  <si>
    <t>ARG5. En una escala en donde  1 significa una política exterior de autonomía en relación a Estados Unidos y 7 significa una política exterior de alineamiento con Estados Unidos ¿en qué casilla colocaría usted a los gobiernos de los siguientes presidentes? [Mauricio Macri (2015-2019)]</t>
  </si>
  <si>
    <t>ARG5. En una escala en donde  1 significa una política exterior de autonomía en relación a Estados Unidos y 7 significa una política exterior de alineamiento con Estados Unidos ¿en qué casilla colocaría usted a los gobiernos de los siguientes presidentes? [Alberto Fernández (2019-2023)]</t>
  </si>
  <si>
    <t>ARG6. ¿Según su opinión qué importancia le asignó cada presidente al objetivo de asegurar la soberanía política y territorial del país? [Mauricio Macri (2015-2019)]</t>
  </si>
  <si>
    <t>ARG6. ¿Según su opinión qué importancia le asignó cada presidente al objetivo de asegurar la soberanía política y territorial del país? [Alberto Fernández (2019-2023)]</t>
  </si>
  <si>
    <t>ARG7. ¿Según su opinión, qué importancia le asignó cada presidente al objetivo de aumentar la reputación internacional? [Mauricio Macri (2015-2019)]</t>
  </si>
  <si>
    <t>ARG7. ¿Según su opinión, qué importancia le asignó cada presidente al objetivo de aumentar la reputación internacional? [Alberto Fernández (2019-2023)]</t>
  </si>
  <si>
    <t>ARG8. Finalmente, según su opinión, ¿qué importancia le asignó cada presidente al objetivo de incrementar el comercio y el desarrollo económico? [Mauricio Macri (2015-2019)]</t>
  </si>
  <si>
    <t>ARG8. Finalmente, según su opinión, ¿qué importancia le asignó cada presidente al objetivo de incrementar el comercio y el desarrollo económico? [Alberto Fernández (2019-2023)]</t>
  </si>
  <si>
    <t>BOL1. Cuando se habla de política se utilizan normalmente las expresiones “izquierda” y “derecha”. En una escala donde 1 es la posición más a la izquierda y 7 la posición más a la derecha, ¿De 1 a 7 qué valor le asignaría usted a los gobiernos de los siguientes presidentes? [Evo Morales Aima (2014-2019)]</t>
  </si>
  <si>
    <t>BOL1. Cuando se habla de política se utilizan normalmente las expresiones “izquierda” y “derecha”. En una escala donde 1 es la posición más a la izquierda y 7 la posición más a la derecha, ¿De 1 a 7 qué valor le asignaría usted a los gobiernos de los siguientes presidentes? [Jeanine Añez (2019-2020)]</t>
  </si>
  <si>
    <t>BOL1. Cuando se habla de política se utilizan normalmente las expresiones “izquierda” y “derecha”. En una escala donde 1 es la posición más a la izquierda y 7 la posición más a la derecha, ¿De 1 a 7 qué valor le asignaría usted a los gobiernos de los siguientes presidentes? [Luis Arce (2020-2024)]</t>
  </si>
  <si>
    <t>BOL2. En una escala en donde 1 es una política comercial extremadamente proteccionista y 7 una política comercial en extremo aperturista, ¿De 1 a 7 qué puntaje le asignaría usted a los gobiernos de los siguientes presidentes? [Evo Morales Aima (2014-2019)]</t>
  </si>
  <si>
    <t>BOL2. En una escala en donde 1 es una política comercial extremadamente proteccionista y 7 una política comercial en extremo aperturista, ¿De 1 a 7 qué puntaje le asignaría usted a los gobiernos de los siguientes presidentes? [Jeanine Añez (2019-2020)]</t>
  </si>
  <si>
    <t>BOL2. En una escala en donde 1 es una política comercial extremadamente proteccionista y 7 una política comercial en extremo aperturista, ¿De 1 a 7 qué puntaje le asignaría usted a los gobiernos de los siguientes presidentes? [Luis Arce (2020-2024)]</t>
  </si>
  <si>
    <t>BOL3.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[Evo Morales Aima (2014-2019)]</t>
  </si>
  <si>
    <t>BOL3.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[Jeanine Añez (2019-2020)]</t>
  </si>
  <si>
    <t>BOL3.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[Luis Arce (2020-2024)]</t>
  </si>
  <si>
    <t>BOL4. En una escala donde 1 significa una concepción totalmente ideológica de la política exterior y 7 una concepción totalmente pragmática de la política exterior ¿De 1 a 7, qué valor le asignaría usted a los gobiernos de los siguientes presidentes? [Evo Morales Aima (2014-2019)]</t>
  </si>
  <si>
    <t>BOL4. En una escala donde 1 significa una concepción totalmente ideológica de la política exterior y 7 una concepción totalmente pragmática de la política exterior ¿De 1 a 7, qué valor le asignaría usted a los gobiernos de los siguientes presidentes? [Jeanine Añez (2019-2020)]</t>
  </si>
  <si>
    <t>BOL4. En una escala donde 1 significa una concepción totalmente ideológica de la política exterior y 7 una concepción totalmente pragmática de la política exterior ¿De 1 a 7, qué valor le asignaría usted a los gobiernos de los siguientes presidentes? [Luis Arce (2020-2024)]</t>
  </si>
  <si>
    <t>BOL5. En una escala en donde 1 significa una política exterior de autonomía en relación a Estados Unidos y 7 significa una política exterior de alineamiento con Estados Unidos ¿en qué casilla colocaría usted a los gobiernos de los siguientes presidentes? [Evo Morales Aima (2014-2019)]</t>
  </si>
  <si>
    <t>BOL5. En una escala en donde 1 significa una política exterior de autonomía en relación a Estados Unidos y 7 significa una política exterior de alineamiento con Estados Unidos ¿en qué casilla colocaría usted a los gobiernos de los siguientes presidentes? [Jeanine Añez (2019-2020)]</t>
  </si>
  <si>
    <t>BOL5. En una escala en donde 1 significa una política exterior de autonomía en relación a Estados Unidos y 7 significa una política exterior de alineamiento con Estados Unidos ¿en qué casilla colocaría usted a los gobiernos de los siguientes presidentes? [Luis Arce (2020-2024)]</t>
  </si>
  <si>
    <t>BOL6. ¿Según su opinión que importancia le asignó cada presidente al objetivo de asegurar la soberanía política y territorial del país? [Evo Morales Aima (2014-2019)]</t>
  </si>
  <si>
    <t>BOL6. ¿Según su opinión que importancia le asignó cada presidente al objetivo de asegurar la soberanía política y territorial del país? [Jeanine Añez (2019-2020)]</t>
  </si>
  <si>
    <t>BOL6. ¿Según su opinión que importancia le asignó cada presidente al objetivo de asegurar la soberanía política y territorial del país? [Luis Arce (2020-2024)]</t>
  </si>
  <si>
    <t>BOL7. ¿Según su opinión que importancia le asignó cada presidente al objetivo de aumentar la reputación internacional? [Evo Morales Aima (2014-2019)]</t>
  </si>
  <si>
    <t>BOL7. ¿Según su opinión que importancia le asignó cada presidente al objetivo de aumentar la reputación internacional? [Jeanine Añez (2019-2020)]</t>
  </si>
  <si>
    <t>BOL7. ¿Según su opinión que importancia le asignó cada presidente al objetivo de aumentar la reputación internacional? [Luis Arce (2020-2024)]</t>
  </si>
  <si>
    <t>BOL8. Finalmente, según su opinión, ¿qué importancia le asignó cada presidente al objetivo de incrementar el comercio y el desarrollo económico? [Evo Morales Aima (2014-2019)]</t>
  </si>
  <si>
    <t>BOL8. Finalmente, según su opinión, ¿qué importancia le asignó cada presidente al objetivo de incrementar el comercio y el desarrollo económico? [Jeanine Añez (2019-2020)]</t>
  </si>
  <si>
    <t>BOL8. Finalmente, según su opinión, ¿qué importancia le asignó cada presidente al objetivo de incrementar el comercio y el desarrollo económico? [Luis Arce (2020-2024)]</t>
  </si>
  <si>
    <t>BRA1. Cuando se habla de política se utilizan normalmente las expresiones “izquierda” y “derecha”. En una escala donde 1 es la posición más a la izquierda y 7 la posición más a la derecha, ¿De 1 a 7 qué valor le asignaría usted a los gobiernos de los siguientes presidentes? [Dilma Rousseff (2014-2016)]</t>
  </si>
  <si>
    <t>BRA1. Cuando se habla de política se utilizan normalmente las expresiones “izquierda” y “derecha”. En una escala donde 1 es la posición más a la izquierda y 7 la posición más a la derecha, ¿De 1 a 7 qué valor le asignaría usted a los gobiernos de los siguientes presidentes? [Michel Temer (2016-2018)]</t>
  </si>
  <si>
    <t>BRA1. Cuando se habla de política se utilizan normalmente las expresiones “izquierda” y “derecha”. En una escala donde 1 es la posición más a la izquierda y 7 la posición más a la derecha, ¿De 1 a 7 qué valor le asignaría usted a los gobiernos de los siguientes presidentes? [Jair Messias Bolsonaro (2018-2022)]</t>
  </si>
  <si>
    <t>BRA2. En una escala en donde 1 es una política comercial extremadamente proteccionista y 7 una política comercial en extremo aperturista, ¿De 1 a 7 qué puntaje le asignaría usted a los gobiernos de los siguientes presidentes? [Dilma Rousseff (2014-2016)]</t>
  </si>
  <si>
    <t>BRA2. En una escala en donde 1 es una política comercial extremadamente proteccionista y 7 una política comercial en extremo aperturista, ¿De 1 a 7 qué puntaje le asignaría usted a los gobiernos de los siguientes presidentes? [Michel Temer (2016-2018)]</t>
  </si>
  <si>
    <t>BRA2. En una escala en donde 1 es una política comercial extremadamente proteccionista y 7 una política comercial en extremo aperturista, ¿De 1 a 7 qué puntaje le asignaría usted a los gobiernos de los siguientes presidentes? [Jair Messias Bolsonaro (2018-2022)]</t>
  </si>
  <si>
    <t>BRA3.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[Dilma Rousseff (2014-2016)]</t>
  </si>
  <si>
    <t>BRA3.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[Michel Temer (2016-2018)]</t>
  </si>
  <si>
    <t>BRA3.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[Jair Messias Bolsonaro (2018-2022)]</t>
  </si>
  <si>
    <t>BRA4. En una escala donde 1 significa una concepción totalmente ideológica de la política exterior y 7 una concepción totalmente pragmática de la política exterior ¿De 1 a 7, qué valor le asignaría usted a los gobiernos de los siguientes presidentes? [Dilma Rousseff (2014-2016)]</t>
  </si>
  <si>
    <t>BRA4. En una escala donde 1 significa una concepción totalmente ideológica de la política exterior y 7 una concepción totalmente pragmática de la política exterior ¿De 1 a 7, qué valor le asignaría usted a los gobiernos de los siguientes presidentes? [Michel Temer (2016-2018)]</t>
  </si>
  <si>
    <t>BRA4. En una escala donde 1 significa una concepción totalmente ideológica de la política exterior y 7 una concepción totalmente pragmática de la política exterior ¿De 1 a 7, qué valor le asignaría usted a los gobiernos de los siguientes presidentes? [Jair Messias Bolsonaro (2018-2022)]</t>
  </si>
  <si>
    <t>BRA5. En una escala en donde  1 significa una política exterior de autonomía en relación a Estados Unidos y 7 significa una política exterior de alineamiento con Estados Unidos ¿en qué casilla colocaría usted a los gobiernos de los siguientes presidentes? [Dilma Rousseff (2014-2016)]</t>
  </si>
  <si>
    <t>BRA5. En una escala en donde  1 significa una política exterior de autonomía en relación a Estados Unidos y 7 significa una política exterior de alineamiento con Estados Unidos ¿en qué casilla colocaría usted a los gobiernos de los siguientes presidentes? [Michel Temer (2016-2018)]</t>
  </si>
  <si>
    <t>BRA5. En una escala en donde  1 significa una política exterior de autonomía en relación a Estados Unidos y 7 significa una política exterior de alineamiento con Estados Unidos ¿en qué casilla colocaría usted a los gobiernos de los siguientes presidentes? [Jair Messias Bolsonaro (2018-2022)]</t>
  </si>
  <si>
    <t>BRA6. ¿Según su opinión que importancia le asignó cada presidente al objetivo de asegurar la soberanía política y territorial del país? [Dilma Rousseff (2014-2016)]</t>
  </si>
  <si>
    <t>BRA6. ¿Según su opinión que importancia le asignó cada presidente al objetivo de asegurar la soberanía política y territorial del país? [Michel Temer (2016-2018)]</t>
  </si>
  <si>
    <t>BRA6. ¿Según su opinión que importancia le asignó cada presidente al objetivo de asegurar la soberanía política y territorial del país? [Jair Messias Bolsonaro (2018-2022)]</t>
  </si>
  <si>
    <t>BRA7. ¿Según su opinión que importancia le asignó cada presidente al objetivo de aumentar la reputación internacional? [Dilma Rousseff (2014-2016)]</t>
  </si>
  <si>
    <t>BRA7. ¿Según su opinión que importancia le asignó cada presidente al objetivo de aumentar la reputación internacional? [Michel Temer (2016-2018)]</t>
  </si>
  <si>
    <t>BRA7. ¿Según su opinión que importancia le asignó cada presidente al objetivo de aumentar la reputación internacional? [Jair Messias Bolsonaro (2018-2022)]</t>
  </si>
  <si>
    <t>BRA8. Finalmente, según su opinión, ¿qué importancia le asignó cada presidente al objetivo de incrementar el comercio y el desarrollo económico? [Dilma Rousseff (2014-2016)]</t>
  </si>
  <si>
    <t>BRA8. Finalmente, según su opinión, ¿qué importancia le asignó cada presidente al objetivo de incrementar el comercio y el desarrollo económico? [Michel Temer (2016-2018)]</t>
  </si>
  <si>
    <t>BRA8. Finalmente, según su opinión, ¿qué importancia le asignó cada presidente al objetivo de incrementar el comercio y el desarrollo económico? [Jair Messias Bolsonaro (2018-2022)]</t>
  </si>
  <si>
    <t>CHL1. Cuando se habla de política se utilizan normalmente las expresiones “izquierda” y “derecha”. En una escala donde 1 es la posición más a la izquierda y 7 la posición más a la derecha, ¿De 1 a 7 qué valor le asignaría usted a los gobiernos de los siguientes presidentes? [Michelle Bachelet (2014-2018)]</t>
  </si>
  <si>
    <t>CHL1. Cuando se habla de política se utilizan normalmente las expresiones “izquierda” y “derecha”. En una escala donde 1 es la posición más a la izquierda y 7 la posición más a la derecha, ¿De 1 a 7 qué valor le asignaría usted a los gobiernos de los siguientes presidentes? [Sebastián Piñera (2018-2022)]</t>
  </si>
  <si>
    <t>CHL2. En una escala en donde 1 es una política comercial extremadamente proteccionista y 7 una política comercial en extremo aperturista, ¿De 1 a 7 qué puntaje le asignaría usted a los gobiernos de los siguientes presidentes? [Michelle Bachelet (2014-2018)]</t>
  </si>
  <si>
    <t>CHL2. En una escala en donde 1 es una política comercial extremadamente proteccionista y 7 una política comercial en extremo aperturista, ¿De 1 a 7 qué puntaje le asignaría usted a los gobiernos de los siguientes presidentes? [Sebastián Piñera (2018-2022)]</t>
  </si>
  <si>
    <t>CHL3.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[Michelle Bachelet (2014-2018)]</t>
  </si>
  <si>
    <t>CHL3.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[Sebastián Piñera (2018-2022)]</t>
  </si>
  <si>
    <t>CHL4. En una escala donde 1 significa una concepción totalmente ideológica de la política exterior y 7 una concepción totalmente pragmática de la política exterior ¿De 1 a 7, qué valor le asignaría usted a los gobiernos de los siguientes presidentes? [Michelle Bachelet (2014-2018)]</t>
  </si>
  <si>
    <t>CHL4. En una escala donde 1 significa una concepción totalmente ideológica de la política exterior y 7 una concepción totalmente pragmática de la política exterior ¿De 1 a 7, qué valor le asignaría usted a los gobiernos de los siguientes presidentes? [Sebastián Piñera (2018-2022)]</t>
  </si>
  <si>
    <t>CHL5. En una escala en donde  1 significa una política exterior de autonomía en relación a Estados Unidos y 7 significa una política exterior de alineamiento con Estados Unidos ¿en qué casilla colocaría usted a los gobiernos de los siguientes presidentes? [Michelle Bachelet (2014-2018)]</t>
  </si>
  <si>
    <t>CHL5. En una escala en donde  1 significa una política exterior de autonomía en relación a Estados Unidos y 7 significa una política exterior de alineamiento con Estados Unidos ¿en qué casilla colocaría usted a los gobiernos de los siguientes presidentes? [Sebastián Piñera (2018-2022)]</t>
  </si>
  <si>
    <t>CHL6. ¿Según su opinión qué importancia le asignó cada presidente al objetivo de asegurar la soberanía política y territorial del país? [Michelle Bachelet (2014-2018)]</t>
  </si>
  <si>
    <t>CHL6. ¿Según su opinión qué importancia le asignó cada presidente al objetivo de asegurar la soberanía política y territorial del país? [Sebastián Piñera (2018-2022)]</t>
  </si>
  <si>
    <t>CHL7. ¿Según su opinión que importancia le asignó cada presidente al objetivo de aumentar la reputación internacional? [Michelle Bachelet (2014-2018)]</t>
  </si>
  <si>
    <t>CHL7. ¿Según su opinión que importancia le asignó cada presidente al objetivo de aumentar la reputación internacional? [Sebastián Piñera (2018-2022)]</t>
  </si>
  <si>
    <t>CHL8. Finalmente, según su opinión, ¿qué importancia le asignó cada presidente al objetivo de incrementar el comercio y el desarrollo económico? [Michelle Bachelet (2014-2018)]</t>
  </si>
  <si>
    <t>CHL8. Finalmente, según su opinión, ¿qué importancia le asignó cada presidente al objetivo de incrementar el comercio y el desarrollo económico? [Sebastián Piñera (2018-2022)]</t>
  </si>
  <si>
    <t>COL1. Cuando se habla de política se utilizan normalmente las expresiones “izquierda” y “derecha”. En una escala donde 1 es la posición más a la izquierda y 7 la posición más a la derecha, ¿De 1 a 7 qué valor le asignaría usted a los gobiernos de los siguientes presidentes? [Juan Manuel Santos (2014-2018)]</t>
  </si>
  <si>
    <t>COL2. En una escala en donde 1 es una política comercial extremadamente proteccionista y 7 una política comercial en extremo aperturista, ¿De 1 a 7 qué puntaje le asignaría usted a los gobiernos de los siguientes presidentes? [Juan Manuel Santos (2014-2018)]</t>
  </si>
  <si>
    <t>COL2. En una escala en donde 1 es una política comercial extremadamente proteccionista y 7 una política comercial en extremo aperturista, ¿De 1 a 7 qué puntaje le asignaría usted a los gobiernos de los siguientes presidentes? [Iván Duque Márquez (2018-2022)]</t>
  </si>
  <si>
    <t>COL3.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[Juan Manuel Santos (2014-2018)]</t>
  </si>
  <si>
    <t>COL3.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[Iván Duque Márquez (2018-2022)]</t>
  </si>
  <si>
    <t>COL4. En una escala donde 1 significa una concepción totalmente ideológica de la política exterior y 7 una concepción totalmente pragmática de la política exterior ¿De 1 a 7, qué valor le asignaría usted a los gobiernos de los siguientes presidentes? [Juan Manuel Santos (2014-2018)]</t>
  </si>
  <si>
    <t>COL4. En una escala donde 1 significa una concepción totalmente ideológica de la política exterior y 7 una concepción totalmente pragmática de la política exterior ¿De 1 a 7, qué valor le asignaría usted a los gobiernos de los siguientes presidentes? [Iván Duque Márquez (2018-2022)]</t>
  </si>
  <si>
    <t>COL5. En una escala en donde  1 significa una política exterior de autonomía en relación a Estados Unidos y 7 significa una política exterior de alineamiento con Estados Unidos ¿en qué casilla colocaría usted a los gobiernos de los siguientes presidentes? [Juan Manuel Santos (2014-2018)]</t>
  </si>
  <si>
    <t>COL5. En una escala en donde  1 significa una política exterior de autonomía en relación a Estados Unidos y 7 significa una política exterior de alineamiento con Estados Unidos ¿en qué casilla colocaría usted a los gobiernos de los siguientes presidentes? [Iván Duque Márquez (2018-2022)]</t>
  </si>
  <si>
    <t>COL6. ¿Según su opinión qué importancia le asignó cada presidente al objetivo de asegurar la soberanía política y territorial del país? [Juan Manuel Santos (2014-2018)]</t>
  </si>
  <si>
    <t>COL6. ¿Según su opinión qué importancia le asignó cada presidente al objetivo de asegurar la soberanía política y territorial del país? [Iván Duque Márquez (2018-2022)]</t>
  </si>
  <si>
    <t>COL7. ¿Según su opinión, qué importancia le asignó cada presidente al objetivo de aumentar la reputación internacional? [Juan Manuel Santos (2014-2018)]</t>
  </si>
  <si>
    <t>COL7. ¿Según su opinión, qué importancia le asignó cada presidente al objetivo de aumentar la reputación internacional? [Iván Duque Márquez (2018-2022)]</t>
  </si>
  <si>
    <t>COL8. Finalmente, según su opinión, ¿qué importancia le asignó cada presidente al objetivo de incrementar el comercio y el desarrollo económico? [Juan Manuel Santos (2014-2018)]</t>
  </si>
  <si>
    <t>COL8. Finalmente, según su opinión, ¿qué importancia le asignó cada presidente al objetivo de incrementar el comercio y el desarrollo económico? [Iván Duque Márquez (2018-2022)]</t>
  </si>
  <si>
    <t>COR1. Cuando se habla de política se utilizan normalmente las expresiones "izquierda" y "derecha". En una escala donde 1 es la posición más a la izquierda y 7 la posición más a la derecha, ¿del 1 al 7 qué valor le asigna usted a los gobiernos de los siguientes presidentes? [Luis Guillermo Solís Rivera (2014-2018)]</t>
  </si>
  <si>
    <t>COR1. Cuando se habla de política se utilizan normalmente las expresiones "izquierda" y "derecha". En una escala donde 1 es la posición más a la izquierda y 7 la posición más a la derecha, ¿del 1 al 7 qué valor le asigna usted a los gobiernos de los siguientes presidentes? [Carlos Alvarado Quesada (2018-2022)]</t>
  </si>
  <si>
    <t>COR2. En una escala en donde 1 es una política comercial extremadamente proteccionista y 7 una política comercial en extremo aperturista, ¿De 1 a 7 qué puntaje le asignaría usted a los gobiernos de los siguientes presidentes? [Luis Guillermo Solís Rivera (2014-2018)]</t>
  </si>
  <si>
    <t>COR2. En una escala en donde 1 es una política comercial extremadamente proteccionista y 7 una política comercial en extremo aperturista, ¿De 1 a 7 qué puntaje le asignaría usted a los gobiernos de los siguientes presidentes? [Carlos Alvarado Quesada (2018-2022)]</t>
  </si>
  <si>
    <t>COR3.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[Luis Guillermo Solís Rivera (2014-2018)]</t>
  </si>
  <si>
    <t>COR3.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[Carlos Alvarado Quesada (2018-2022)]</t>
  </si>
  <si>
    <t>COR4. En una escala donde 1 significa una concepción totalmente ideológica de la política exterior y 7 una concepción totalmente pragmática de la política exterior ¿De 1 a 7, qué valor le asignaría usted a los gobiernos de los siguientes presidentes? [Luis Guillermo Solís Rivera (2014-2018)]</t>
  </si>
  <si>
    <t>COR4. En una escala donde 1 significa una concepción totalmente ideológica de la política exterior y 7 una concepción totalmente pragmática de la política exterior ¿De 1 a 7, qué valor le asignaría usted a los gobiernos de los siguientes presidentes? [Carlos Alvarado Quesada (2018-2022)]</t>
  </si>
  <si>
    <t>COR5. En una escala en donde  1 significa una política exterior de autonomía en relación a Estados Unidos y 7 significa una política exterior de alineamiento con Estados Unidos ¿en qué casilla colocaría usted a los gobiernos de los siguientes presidentes? [Luis Guillermo Solís Rivera (2014-2018)]</t>
  </si>
  <si>
    <t>COR5. En una escala en donde  1 significa una política exterior de autonomía en relación a Estados Unidos y 7 significa una política exterior de alineamiento con Estados Unidos ¿en qué casilla colocaría usted a los gobiernos de los siguientes presidentes? [Carlos Alvarado Quesada (2018-2022)]</t>
  </si>
  <si>
    <t>COR6. ¿Según su opinión qué importancia le asignó cada presidente al objetivo de asegurar la soberanía política y territorial del país? [Luis Guillermo Solís Rivera (2014-2018)]</t>
  </si>
  <si>
    <t>COR6. ¿Según su opinión qué importancia le asignó cada presidente al objetivo de asegurar la soberanía política y territorial del país? [Carlos Alvarado Quesada (2018-2022)]</t>
  </si>
  <si>
    <t>COR7. ¿Según su opinión, qué importancia le asignó cada presidente al objetivo de aumentar la reputación internacional? [Luis Guillermo Solís Rivera (2014-2018)]</t>
  </si>
  <si>
    <t>COR7. ¿Según su opinión, qué importancia le asignó cada presidente al objetivo de aumentar la reputación internacional? [Carlos Alvarado Quesada (2018-2022)]</t>
  </si>
  <si>
    <t>COR8. Finalmente, según su opinión, ¿qué importancia le asignó cada presidente al objetivo de incrementar el comercio y el desarrollo económico? [Luis Guillermo Solís Rivera (2014-2018)]</t>
  </si>
  <si>
    <t>COR8. Finalmente, según su opinión, ¿qué importancia le asignó cada presidente al objetivo de incrementar el comercio y el desarrollo económico? [Carlos Alvarado Quesada (2018-2022)]</t>
  </si>
  <si>
    <t>ECU1. Cuando se habla de política se utilizan normalmente las expresiones "izquierda" y "derecha". En una escala donde 1 es la posición más a la izquierda y 7 la posición más a la derecha, ¿del 1 al 7 qué valor le asigna usted a los gobiernos de los siguientes presidentes? [Rafael Correa (2013-2017)]</t>
  </si>
  <si>
    <t>ECU1. Cuando se habla de política se utilizan normalmente las expresiones "izquierda" y "derecha". En una escala donde 1 es la posición más a la izquierda y 7 la posición más a la derecha, ¿del 1 al 7 qué valor le asigna usted a los gobiernos de los siguientes presidentes? [Lenín Moreno Garcés (2017-2021)]</t>
  </si>
  <si>
    <t>ECU2.  En una escala en donde 1 es una política comercial extremadamente proteccionista y 7 una política comercial en extremo aperturista, ¿De 1 a 7 qué puntaje le asignaría usted a los gobiernos de los siguientes presidentes? [Rafael Correa (2013-2017)]</t>
  </si>
  <si>
    <t>ECU2.  En una escala en donde 1 es una política comercial extremadamente proteccionista y 7 una política comercial en extremo aperturista, ¿De 1 a 7 qué puntaje le asignaría usted a los gobiernos de los siguientes presidentes? [Lenín Moreno Garcés (2017-2021)]</t>
  </si>
  <si>
    <t>ECU3. 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[Rafael Correa (2013-2017)]</t>
  </si>
  <si>
    <t>ECU3. 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[Lenín Moreno Garcés (2017-2021)]</t>
  </si>
  <si>
    <t>ECU4.  En una escala donde 1 significa una concepción totalmente ideológica de la política exterior y 7 una concepción totalmente pragmática de la política exterior ¿De 1 a 7, qué valor le asignaría usted a los gobiernos de los siguientes presidentes? [Rafael Correa (2013-2017)]</t>
  </si>
  <si>
    <t>ECU4.  En una escala donde 1 significa una concepción totalmente ideológica de la política exterior y 7 una concepción totalmente pragmática de la política exterior ¿De 1 a 7, qué valor le asignaría usted a los gobiernos de los siguientes presidentes? [Lenín Moreno Garcés (2017-2021)]</t>
  </si>
  <si>
    <t>ECU5.  En una escala en donde  1 significa una política exterior de autonomía en relación a Estados Unidos y 7 significa una política exterior de alineamiento con Estados Unidos ¿en qué casilla colocaría usted a los gobiernos de los siguientes presidentes? [Rafael Correa (2013-2017)]</t>
  </si>
  <si>
    <t>ECU5.  En una escala en donde  1 significa una política exterior de autonomía en relación a Estados Unidos y 7 significa una política exterior de alineamiento con Estados Unidos ¿en qué casilla colocaría usted a los gobiernos de los siguientes presidentes? [Lenín Moreno Garcés (2017-2021)]</t>
  </si>
  <si>
    <t>ECU6.  ¿Según su opinión qué importancia le asignó cada presidente al objetivo de asegurar la soberanía política y territorial del país? [Rafael Correa (2013-2017)]</t>
  </si>
  <si>
    <t>ECU6.  ¿Según su opinión qué importancia le asignó cada presidente al objetivo de asegurar la soberanía política y territorial del país? [Lenín Moreno Garcés (2017-2021)]</t>
  </si>
  <si>
    <t>ECU7.  ¿Según su opinión, qué importancia le asignó cada presidente al objetivo de aumentar la reputación internacional? [Rafael Correa (2013-2017)]</t>
  </si>
  <si>
    <t>ECU7.  ¿Según su opinión, qué importancia le asignó cada presidente al objetivo de aumentar la reputación internacional? [Lenín Moreno Garcés (2017-2021)]</t>
  </si>
  <si>
    <t>ECU8. Finalmente, según su opinión, ¿qué importancia le asignó cada presidente al objetivo de incrementar el comercio y el desarrollo económico? [Rafael Correa (2013-2017)]</t>
  </si>
  <si>
    <t>ECU8. Finalmente, según su opinión, ¿qué importancia le asignó cada presidente al objetivo de incrementar el comercio y el desarrollo económico? [Lenín Moreno Garcés (2017-2021)]</t>
  </si>
  <si>
    <t>MEX1. Cuando se habla de política se utilizan normalmente las expresiones "izquierda" y "derecha". En una escala donde 1 es la posición más a la izquierda y 7 la posición más a la derecha, ¿del 1 al 7 qué valor le asigna usted a los gobiernos de los siguientes presidentes? [Andrés Manuel López Obrador (2018-2024)]</t>
  </si>
  <si>
    <t>MEX2. En una escala en donde 1 es una política comercial extremadamente proteccionista y 7 una política comercial en extremo aperturista, ¿De 1 a 7 qué puntaje le asignaría usted a los gobiernos de los siguientes presidentes? [Andrés Manuel López Obrador (2018-2024)]</t>
  </si>
  <si>
    <t>MEX3.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[Andrés Manuel López Obrador (2018-2024)]</t>
  </si>
  <si>
    <t>MEX4. En una escala donde 1 significa una concepción totalmente ideológica de la política exterior y 7 una concepción totalmente pragmática de la política exterior ¿De 1 a 7, qué valor le asignaría usted a los gobiernos de los siguientes presidentes? [Andrés Manuel López Obrador (2018-2024)]</t>
  </si>
  <si>
    <t>MEX5. En una escala en donde  1 significa una política exterior de autonomía en relación a Estados Unidos y 7 significa una política exterior de alineamiento con Estados Unidos ¿en qué casilla colocaría usted a los gobiernos de los siguientes presidentes? [Andrés Manuel López Obrador (2018-2024)]</t>
  </si>
  <si>
    <t>MEX6. ¿Según su opinión qué importancia le asignó cada presidente al objetivo de asegurar la soberanía política y territorial del país? [Andrés Manuel López Obrador (2018-2024)]</t>
  </si>
  <si>
    <t>MEX7. ¿Según su opinión, qué importancia le asignó cada presidente al objetivo de aumentar la reputación internacional? [Andrés Manuel López Obrador (2018-2024)]</t>
  </si>
  <si>
    <t>MEX8. Finalmente, según su opinión, ¿qué importancia le asignó cada presidente al objetivo de incrementar el comercio y el desarrollo económico? [Andrés Manuel López Obrador (2018-2024)]</t>
  </si>
  <si>
    <t>PRY1. Cuando se habla de política se utilizan normalmente las expresiones "izquierda" y "derecha". En una escala donde 1 es la posición más a la izquierda y 7 la posición más a la derecha, ¿del 1 al 7 qué valor le asigna usted a los gobiernos de los siguientes presidentes? [Horacio Cartes (2013-2018)]</t>
  </si>
  <si>
    <t>PRY1. Cuando se habla de política se utilizan normalmente las expresiones "izquierda" y "derecha". En una escala donde 1 es la posición más a la izquierda y 7 la posición más a la derecha, ¿del 1 al 7 qué valor le asigna usted a los gobiernos de los siguientes presidentes? [Mario Abdo Benítez (2018-2023)]</t>
  </si>
  <si>
    <t>PRY2. En una escala en donde 1 es una política comercial extremadamente proteccionista y 7 una política comercial en extremo aperturista, ¿De 1 a 7 qué puntaje le asignaría usted a los gobiernos de los siguientes presidentes? [Horacio Cartes (2013-2018)]</t>
  </si>
  <si>
    <t>PRY2. En una escala en donde 1 es una política comercial extremadamente proteccionista y 7 una política comercial en extremo aperturista, ¿De 1 a 7 qué puntaje le asignaría usted a los gobiernos de los siguientes presidentes? [Mario Abdo Benítez (2018-2023)]</t>
  </si>
  <si>
    <t>PRY3.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[Horacio Cartes (2013-2018)]</t>
  </si>
  <si>
    <t>PRY3.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[Mario Abdo Benítez (2018-2023)]</t>
  </si>
  <si>
    <t>PRY4. En una escala donde 1 significa una concepción totalmente ideológica de la política exterior y 7 una concepción totalmente pragmática de la política exterior ¿De 1 a 7, qué valor le asignaría usted a los gobiernos de los siguientes presidentes? [Horacio Cartes (2013-2018)]</t>
  </si>
  <si>
    <t>PRY4. En una escala donde 1 significa una concepción totalmente ideológica de la política exterior y 7 una concepción totalmente pragmática de la política exterior ¿De 1 a 7, qué valor le asignaría usted a los gobiernos de los siguientes presidentes? [Mario Abdo Benítez (2018-2023)]</t>
  </si>
  <si>
    <t>PRY5. En una escala en donde  1 significa una política exterior de autonomía en relación a Estados Unidos y 7 significa una política exterior de alineamiento con Estados Unidos ¿en qué casilla colocaría usted a los gobiernos de los siguientes presidentes? [Horacio Cartes (2013-2018)]</t>
  </si>
  <si>
    <t>PRY5. En una escala en donde  1 significa una política exterior de autonomía en relación a Estados Unidos y 7 significa una política exterior de alineamiento con Estados Unidos ¿en qué casilla colocaría usted a los gobiernos de los siguientes presidentes? [Mario Abdo Benítez (2018-2023)]</t>
  </si>
  <si>
    <t>PRY6. ¿Según su opinión qué importancia le asignó cada presidente al objetivo de asegurar la soberanía política y territorial del país? [Horacio Cartes (2013-2018)]</t>
  </si>
  <si>
    <t>PRY6. ¿Según su opinión qué importancia le asignó cada presidente al objetivo de asegurar la soberanía política y territorial del país? [Mario Abdo Benítez (2018-2023)]</t>
  </si>
  <si>
    <t>PRY7. ¿Según su opinión, qué importancia le asignó cada presidente al objetivo de aumentar la reputación internacional? [Horacio Cartes (2013-2018)]</t>
  </si>
  <si>
    <t>PRY7. ¿Según su opinión, qué importancia le asignó cada presidente al objetivo de aumentar la reputación internacional? [Mario Abdo Benítez (2018-2023)]</t>
  </si>
  <si>
    <t>PRY8. Finalmente, según su opinión, ¿qué importancia le asignó cada presidente al objetivo de incrementar el comercio y el desarrollo económico? [Horacio Cartes (2013-2018)]</t>
  </si>
  <si>
    <t>PRY8. Finalmente, según su opinión, ¿qué importancia le asignó cada presidente al objetivo de incrementar el comercio y el desarrollo económico? [Mario Abdo Benítez (2018-2023)]</t>
  </si>
  <si>
    <t>PER1.  Cuando se habla de política se utilizan normalmente las expresiones "izquierda" y "derecha". En una escala donde 1 es la posición más a la izquierda y 7 la posición más a la derecha, ¿del 1 al 7 qué valor le asigna usted a los gobiernos de los siguientes presidentes? [Pedro Pablo Kuczynski (2016-2018)]</t>
  </si>
  <si>
    <t>PER1.  Cuando se habla de política se utilizan normalmente las expresiones "izquierda" y "derecha". En una escala donde 1 es la posición más a la izquierda y 7 la posición más a la derecha, ¿del 1 al 7 qué valor le asigna usted a los gobiernos de los siguientes presidentes? [Martín Vizcarra (2018-2020)]</t>
  </si>
  <si>
    <t>PER1.  Cuando se habla de política se utilizan normalmente las expresiones "izquierda" y "derecha". En una escala donde 1 es la posición más a la izquierda y 7 la posición más a la derecha, ¿del 1 al 7 qué valor le asigna usted a los gobiernos de los siguientes presidentes? [Francisco Sagasti (2020-2021)]</t>
  </si>
  <si>
    <t>PER2.  En una escala en donde 1 es una política comercial extremadamente proteccionista y 7 una política comercial en extremo aperturista, ¿De 1 a 7 qué puntaje le asignaría usted a los gobiernos de los siguientes presidentes? [Pedro Pablo Kuczynski (2016-2018)]</t>
  </si>
  <si>
    <t>PER2.  En una escala en donde 1 es una política comercial extremadamente proteccionista y 7 una política comercial en extremo aperturista, ¿De 1 a 7 qué puntaje le asignaría usted a los gobiernos de los siguientes presidentes? [Martín Vizcarra (2018-2020)]</t>
  </si>
  <si>
    <t>PER2.  En una escala en donde 1 es una política comercial extremadamente proteccionista y 7 una política comercial en extremo aperturista, ¿De 1 a 7 qué puntaje le asignaría usted a los gobiernos de los siguientes presidentes? [Francisco Sagasti (2020-2021)]</t>
  </si>
  <si>
    <t>PER3. 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[Pedro Pablo Kuczynski (2016-2018)]</t>
  </si>
  <si>
    <t>PER3. 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[Martín Vizcarra (2018-2020)]</t>
  </si>
  <si>
    <t>PER3. 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[Francisco Sagasti (2020-2021)]</t>
  </si>
  <si>
    <t>PER4. En una escala donde 1 significa una concepción totalmente ideológica de la política exterior y 7 una concepción totalmente pragmática de la política exterior ¿De 1 a 7, qué valor le asignaría usted a los gobiernos de los siguientes presidentes? [Pedro Pablo Kuczynski (2016-2018)]</t>
  </si>
  <si>
    <t>PER4. En una escala donde 1 significa una concepción totalmente ideológica de la política exterior y 7 una concepción totalmente pragmática de la política exterior ¿De 1 a 7, qué valor le asignaría usted a los gobiernos de los siguientes presidentes? [Martín Vizcarra (2018-2020)]</t>
  </si>
  <si>
    <t>PER4. En una escala donde 1 significa una concepción totalmente ideológica de la política exterior y 7 una concepción totalmente pragmática de la política exterior ¿De 1 a 7, qué valor le asignaría usted a los gobiernos de los siguientes presidentes? [Francisco Sagasti (2020-2021)]</t>
  </si>
  <si>
    <t>PER5. En una escala en donde  1 significa una política exterior de autonomía en relación a Estados Unidos y 7 significa una política exterior de alineamiento con Estados Unidos ¿en qué casilla colocaría usted a los gobiernos de los siguientes presidentes? [Pedro Pablo Kuczynski (2016-2018)]</t>
  </si>
  <si>
    <t>PER5. En una escala en donde  1 significa una política exterior de autonomía en relación a Estados Unidos y 7 significa una política exterior de alineamiento con Estados Unidos ¿en qué casilla colocaría usted a los gobiernos de los siguientes presidentes? [Martín Vizcarra (2018-2020)]</t>
  </si>
  <si>
    <t>PER5. En una escala en donde  1 significa una política exterior de autonomía en relación a Estados Unidos y 7 significa una política exterior de alineamiento con Estados Unidos ¿en qué casilla colocaría usted a los gobiernos de los siguientes presidentes? [Francisco Sagasti (2020-2021)]</t>
  </si>
  <si>
    <t>PER6. ¿Según su opinión qué importancia le asignó cada presidente al objetivo de asegurar la soberanía política y territorial del país? [Pedro Pablo Kuczynski (2016-2018)]</t>
  </si>
  <si>
    <t>PER6. ¿Según su opinión qué importancia le asignó cada presidente al objetivo de asegurar la soberanía política y territorial del país? [Martín Vizcarra (2018-2020)]</t>
  </si>
  <si>
    <t>PER6. ¿Según su opinión qué importancia le asignó cada presidente al objetivo de asegurar la soberanía política y territorial del país? [Francisco Sagasti (2020-2021)]</t>
  </si>
  <si>
    <t>PER7. ¿Según su opinión, qué importancia le asignó cada presidente al objetivo de aumentar la reputación internacional? [Pedro Pablo Kuczynski (2016-2018)]</t>
  </si>
  <si>
    <t>PER7. ¿Según su opinión, qué importancia le asignó cada presidente al objetivo de aumentar la reputación internacional? [Martín Vizcarra (2018-2020)]</t>
  </si>
  <si>
    <t>PER7. ¿Según su opinión, qué importancia le asignó cada presidente al objetivo de aumentar la reputación internacional? [Francisco Sagasti (2020-2021)]</t>
  </si>
  <si>
    <t>PER8. Finalmente, según su opinión, ¿qué importancia le asignó cada presidente al objetivo de incrementar el comercio y el desarrollo económico? [Pedro Pablo Kuczynski (2016-2018)]</t>
  </si>
  <si>
    <t>PER8. Finalmente, según su opinión, ¿qué importancia le asignó cada presidente al objetivo de incrementar el comercio y el desarrollo económico? [Martín Vizcarra (2018-2020)]</t>
  </si>
  <si>
    <t>PER8. Finalmente, según su opinión, ¿qué importancia le asignó cada presidente al objetivo de incrementar el comercio y el desarrollo económico? [Francisco Sagasti (2020-2021)]</t>
  </si>
  <si>
    <t>URY1. Cuando se habla de política se utilizan normalmente las expresiones "izquierda" y "derecha". En una escala donde 1 es la posición más a la izquierda y 7 la posición más a la derecha, ¿del 1 al 7 qué valor le asigna usted a los gobiernos de los siguientes presidentes? [Tabaré Vázquez (2015-2020)]</t>
  </si>
  <si>
    <t>URY1. Cuando se habla de política se utilizan normalmente las expresiones "izquierda" y "derecha". En una escala donde 1 es la posición más a la izquierda y 7 la posición más a la derecha, ¿del 1 al 7 qué valor le asigna usted a los gobiernos de los siguientes presidentes? [Luis Alberto Lacalle Pou (2020-2025)]</t>
  </si>
  <si>
    <t>URY2. En una escala en donde 1 es una política comercial extremadamente proteccionista y 7 una política comercial en extremo aperturista, ¿De 1 a 7 qué puntaje le asignaría usted a los gobiernos de los siguientes presidentes? [Tabaré Vázquez (2015-2020)]</t>
  </si>
  <si>
    <t>URY2. En una escala en donde 1 es una política comercial extremadamente proteccionista y 7 una política comercial en extremo aperturista, ¿De 1 a 7 qué puntaje le asignaría usted a los gobiernos de los siguientes presidentes? [Luis Alberto Lacalle Pou (2020-2025)]</t>
  </si>
  <si>
    <t>URY3.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[Tabaré Vázquez (2015-2020)]</t>
  </si>
  <si>
    <t>URY3.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[Luis Alberto Lacalle Pou (2020-2025)]</t>
  </si>
  <si>
    <t>URY4. En una escala donde 1 significa una concepción totalmente ideológica de la política exterior y 7 una concepción totalmente pragmática de la política exterior ¿De 1 a 7, qué valor le asignaría usted a los gobiernos de los siguientes presidentes? [Tabaré Vázquez (2015-2020)]</t>
  </si>
  <si>
    <t>URY4. En una escala donde 1 significa una concepción totalmente ideológica de la política exterior y 7 una concepción totalmente pragmática de la política exterior ¿De 1 a 7, qué valor le asignaría usted a los gobiernos de los siguientes presidentes? [Luis Alberto Lacalle Pou (2020-2025)]</t>
  </si>
  <si>
    <t>URY5. En una escala en donde  1 significa una política exterior de autonomía en relación a Estados Unidos y 7 significa una política exterior de alineamiento con Estados Unidos ¿en qué casilla colocaría usted a los gobiernos de los siguientes presidentes? [Tabaré Vázquez (2015-2020)]</t>
  </si>
  <si>
    <t>URY5. En una escala en donde  1 significa una política exterior de autonomía en relación a Estados Unidos y 7 significa una política exterior de alineamiento con Estados Unidos ¿en qué casilla colocaría usted a los gobiernos de los siguientes presidentes? [Luis Alberto Lacalle Pou (2020-2025)]</t>
  </si>
  <si>
    <t>URY6. ¿Según su opinión qué importancia le asignó cada presidente al objetivo de asegurar la soberanía política y territorial del país? [Tabaré Vázquez (2015-2020)]</t>
  </si>
  <si>
    <t>URY6. ¿Según su opinión qué importancia le asignó cada presidente al objetivo de asegurar la soberanía política y territorial del país? [Luis Alberto Lacalle Pou (2020-2025)]</t>
  </si>
  <si>
    <t>URY7. ¿Según su opinión, qué importancia le asignó cada presidente al objetivo de aumentar la reputación internacional? [Tabaré Vázquez (2015-2020)]</t>
  </si>
  <si>
    <t>URY7. ¿Según su opinión, qué importancia le asignó cada presidente al objetivo de aumentar la reputación internacional? [Luis Alberto Lacalle Pou (2020-2025)]</t>
  </si>
  <si>
    <t>URY8. Finalmente, según su opinión, ¿qué importancia le asignó cada presidente al objetivo de incrementar el comercio y el desarrollo económico? [Tabaré Vázquez (2015-2020)]</t>
  </si>
  <si>
    <t>URY8. Finalmente, según su opinión, ¿qué importancia le asignó cada presidente al objetivo de incrementar el comercio y el desarrollo económico? [Luis Alberto Lacalle Pou (2020-2025)]</t>
  </si>
  <si>
    <t>VEN1. Cuando se habla de política se utilizan normalmente las expresiones "izquierda" y "derecha". En una escala donde 1 es la posición más a la izquierda y 7 la posición más a la derecha, ¿del 1 al 7 qué valor le asigna usted a los gobiernos de los siguientes presidentes? [Nicolás Maduro (2013-2019)]</t>
  </si>
  <si>
    <t>VEN1. Cuando se habla de política se utilizan normalmente las expresiones "izquierda" y "derecha". En una escala donde 1 es la posición más a la izquierda y 7 la posición más a la derecha, ¿del 1 al 7 qué valor le asigna usted a los gobiernos de los siguientes presidentes? [Nicolás Maduro (2019-)]</t>
  </si>
  <si>
    <t>VEN2. En una escala en donde 1 es una política comercial extremadamente proteccionista y 7 una política comercial en extremo aperturista, ¿De 1 a 7 qué puntaje le asignaría usted a los gobiernos de los siguientes presidentes? [Nicolás Maduro (2013-2019)]</t>
  </si>
  <si>
    <t>VEN2. En una escala en donde 1 es una política comercial extremadamente proteccionista y 7 una política comercial en extremo aperturista, ¿De 1 a 7 qué puntaje le asignaría usted a los gobiernos de los siguientes presidentes? [Nicolás Maduro (2019-)]</t>
  </si>
  <si>
    <t>VEN3.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[Nicolás Maduro (2013-2019)]</t>
  </si>
  <si>
    <t>VEN3.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[Nicolás Maduro (2019-)]</t>
  </si>
  <si>
    <t>VEN4. En una escala donde 1 significa una concepción totalmente ideológica de la política exterior y 7 una concepción totalmente pragmática de la política exterior ¿De 1 a 7, qué valor le asignaría usted a los gobiernos de los siguientes presidentes? [Nicolás Maduro (2013-2019)]</t>
  </si>
  <si>
    <t>VEN4. En una escala donde 1 significa una concepción totalmente ideológica de la política exterior y 7 una concepción totalmente pragmática de la política exterior ¿De 1 a 7, qué valor le asignaría usted a los gobiernos de los siguientes presidentes? [Nicolás Maduro (2019-)]</t>
  </si>
  <si>
    <t>VEN5. En una escala en donde  1 significa una política exterior de autonomía en relación a Estados Unidos y 7 significa una política exterior de alineamiento con Estados Unidos ¿en qué casilla colocaría usted a los gobiernos de los siguientes presidentes? [Nicolás Maduro (2013-2019)]</t>
  </si>
  <si>
    <t>VEN5. En una escala en donde  1 significa una política exterior de autonomía en relación a Estados Unidos y 7 significa una política exterior de alineamiento con Estados Unidos ¿en qué casilla colocaría usted a los gobiernos de los siguientes presidentes? [Nicolás Maduro (2019-)]</t>
  </si>
  <si>
    <t>VEN6. ¿Según su opinión qué importancia le asignó cada presidente al objetivo de asegurar la soberanía política y territorial del país? [Nicolás Maduro (2013-2019)]</t>
  </si>
  <si>
    <t>VEN6. ¿Según su opinión qué importancia le asignó cada presidente al objetivo de asegurar la soberanía política y territorial del país? [Nicolás Maduro (2019-)]</t>
  </si>
  <si>
    <t>VEN7. ¿Según su opinión, qué importancia le asignó cada presidente al objetivo de aumentar la reputación internacional? [Nicolás Maduro (2013-2019)]</t>
  </si>
  <si>
    <t>VEN7. ¿Según su opinión, qué importancia le asignó cada presidente al objetivo de aumentar la reputación internacional? [Nicolás Maduro (2019-)]</t>
  </si>
  <si>
    <t>VEN8. Finalmente, según su opinión, ¿qué importancia le asignó cada presidente al objetivo de incrementar el comercio y el desarrollo económico? [Nicolás Maduro (2013-2019)]</t>
  </si>
  <si>
    <t>VEN8. Finalmente, según su opinión, ¿qué importancia le asignó cada presidente al objetivo de incrementar el comercio y el desarrollo económico? [Nicolás Maduro (2019-)]</t>
  </si>
  <si>
    <t>MEX1. Cuando se habla de política se utilizan normalmente las expresiones "izquierda" y "derecha". En una escala donde 1 es la posición más a la izquierda y 7 la posición más a la derecha, ¿del 1 al 7 qué valor le asigna usted a los gobiernos de los siguientes presidentes? [Enrique Peña Nieto (2012-2018)]</t>
  </si>
  <si>
    <t>MEX2. En una escala en donde 1 es una política comercial extremadamente proteccionista y 7 una política comercial en extremo aperturista, ¿De 1 a 7 qué puntaje le asignaría usted a los gobiernos de los siguientes presidentes? [Enrique Peña Nieto (2012-2018)]</t>
  </si>
  <si>
    <t>MEX3. Considerando las relaciones con otros países, en general podemos hablar de una orientación que privilegia la relación con los países del Norte y otra orientación que privilegia la relación con los países del Sur. En una escala donde 1 es más orientado hacia el Sur y 7 más orientado hacia el Norte ¿De 1 a 7, qué puntaje le asignaría usted a los gobiernos de los siguientes presidentes? [Enrique Peña Nieto (2012-2018)]</t>
  </si>
  <si>
    <t>MEX4. En una escala donde 1 significa una concepción totalmente ideológica de la política exterior y 7 una concepción totalmente pragmática de la política exterior ¿De 1 a 7, qué valor le asignaría usted a los gobiernos de los siguientes presidentes? [Enrique Peña Nieto (2012-2018)]</t>
  </si>
  <si>
    <t>MEX5. En una escala en donde  1 significa una política exterior de autonomía en relación a Estados Unidos y 7 significa una política exterior de alineamiento con Estados Unidos ¿en qué casilla colocaría usted a los gobiernos de los siguientes presidentes? [Enrique Peña Nieto (2012-2018)]</t>
  </si>
  <si>
    <t>MEX6. ¿Según su opinión qué importancia le asignó cada presidente al objetivo de asegurar la soberanía política y territorial del país? [Enrique Peña Nieto (2012-2018)]</t>
  </si>
  <si>
    <t>MEX7. ¿Según su opinión, qué importancia le asignó cada presidente al objetivo de aumentar la reputación internacional? [Enrique Peña Nieto (2012-2018)]</t>
  </si>
  <si>
    <t>MEX8. Finalmente, según su opinión, ¿qué importancia le asignó cada presidente al objetivo de incrementar el comercio y el desarrollo económico? [Enrique Peña Nieto (2012-2018)]</t>
  </si>
  <si>
    <t>COL1. Cuando se habla de política se utilizan normalmente las expresiones “izquierda” y “derecha”. En una escala donde 1 es la posición más a la izquierda y 7 la posición más a la derecha, ¿De 1 a 7 qué valor le asignaría usted a los gobiernos de los siguientes presidentes? [Iván Duque Márquez (2018-2022)]</t>
  </si>
  <si>
    <t>Brasil</t>
  </si>
  <si>
    <t>7 Derecha</t>
  </si>
  <si>
    <t>7 Aperturista</t>
  </si>
  <si>
    <t>7 Norte</t>
  </si>
  <si>
    <t>7 Alineamiento</t>
  </si>
  <si>
    <t>Ni poca/ Ni mucha</t>
  </si>
  <si>
    <t>Mucha importancia</t>
  </si>
  <si>
    <t>Muy poca importancia</t>
  </si>
  <si>
    <t>Poca importancia</t>
  </si>
  <si>
    <t>Algo de importancia</t>
  </si>
  <si>
    <t>México</t>
  </si>
  <si>
    <t>7 Pragmática</t>
  </si>
  <si>
    <t>Chile</t>
  </si>
  <si>
    <t>Paraguay</t>
  </si>
  <si>
    <t>No sabe/ No contesta</t>
  </si>
  <si>
    <t>Uruguay</t>
  </si>
  <si>
    <t>Venezuela</t>
  </si>
  <si>
    <t>1 Autonomía</t>
  </si>
  <si>
    <t>Argentina</t>
  </si>
  <si>
    <t>8 No sabe</t>
  </si>
  <si>
    <t>Perú</t>
  </si>
  <si>
    <t>Bolivia</t>
  </si>
  <si>
    <t>Ecuador</t>
  </si>
  <si>
    <t>Costa Rica</t>
  </si>
  <si>
    <t>Colombia</t>
  </si>
  <si>
    <t>Ni mucha/ Ni poca</t>
  </si>
  <si>
    <t>Mauricio Macri</t>
  </si>
  <si>
    <t>Alberto Fernandez</t>
  </si>
  <si>
    <t>presidents</t>
  </si>
  <si>
    <t>country</t>
  </si>
  <si>
    <t>ccode</t>
  </si>
  <si>
    <t>term</t>
  </si>
  <si>
    <t>ideology</t>
  </si>
  <si>
    <t>economy</t>
  </si>
  <si>
    <t>geopolitics</t>
  </si>
  <si>
    <t>style</t>
  </si>
  <si>
    <t>usa</t>
  </si>
  <si>
    <t>sovereignty</t>
  </si>
  <si>
    <t>development</t>
  </si>
  <si>
    <t>reputation</t>
  </si>
  <si>
    <t>presinst</t>
  </si>
  <si>
    <t>fh</t>
  </si>
  <si>
    <t>shugart</t>
  </si>
  <si>
    <t>volatility</t>
  </si>
  <si>
    <t>us_heg</t>
  </si>
  <si>
    <t>coldwar</t>
  </si>
  <si>
    <t>s11</t>
  </si>
  <si>
    <t>gdpgth</t>
  </si>
  <si>
    <t>radicalism</t>
  </si>
  <si>
    <t>publicsectorcorr</t>
  </si>
  <si>
    <t>prof</t>
  </si>
  <si>
    <t>tradechi</t>
  </si>
  <si>
    <t>tradeusa</t>
  </si>
  <si>
    <t>population</t>
  </si>
  <si>
    <t>yearinoffice</t>
  </si>
  <si>
    <t>party</t>
  </si>
  <si>
    <t>partyideo</t>
  </si>
  <si>
    <t>partyideo1</t>
  </si>
  <si>
    <t>pctradechi</t>
  </si>
  <si>
    <t>pctradeusa</t>
  </si>
  <si>
    <t>UCR</t>
  </si>
  <si>
    <t>C</t>
  </si>
  <si>
    <t>Carlos Saul Menem1</t>
  </si>
  <si>
    <t>PJ</t>
  </si>
  <si>
    <t>CR</t>
  </si>
  <si>
    <t>Carlos Saul Menem2</t>
  </si>
  <si>
    <t>Fernando de la Rua</t>
  </si>
  <si>
    <t>Eduardo Alberto Duhalde</t>
  </si>
  <si>
    <t>CL</t>
  </si>
  <si>
    <t>Nestor Carlos Kirchner</t>
  </si>
  <si>
    <t>Cristina Fernandez1</t>
  </si>
  <si>
    <t>Cristina Fernandez2</t>
  </si>
  <si>
    <t>Hernan Siles Suazo</t>
  </si>
  <si>
    <t>MNR</t>
  </si>
  <si>
    <t>Victor Paz Estenssoro</t>
  </si>
  <si>
    <t>MIR</t>
  </si>
  <si>
    <t>Jaime Paz Zamora</t>
  </si>
  <si>
    <t>Gonzalo Sanchez de Lozada</t>
  </si>
  <si>
    <t>ADN</t>
  </si>
  <si>
    <t>R</t>
  </si>
  <si>
    <t>Hugo Banzer Suarez</t>
  </si>
  <si>
    <t>MNR-MBL</t>
  </si>
  <si>
    <t>Carlos Diego Mesa Gisbert</t>
  </si>
  <si>
    <t>MAS</t>
  </si>
  <si>
    <t>L</t>
  </si>
  <si>
    <t>Juan Evo Morales Ayma1</t>
  </si>
  <si>
    <t>Juan Evo Morales Ayma2</t>
  </si>
  <si>
    <t>Jose Sarney</t>
  </si>
  <si>
    <t>PMDB</t>
  </si>
  <si>
    <t>Fernando Affonso Collor de Mello</t>
  </si>
  <si>
    <t>PRN</t>
  </si>
  <si>
    <t>Itamar Augusto Cautiero Franco</t>
  </si>
  <si>
    <t>PSDB</t>
  </si>
  <si>
    <t>Fernando Henrique Cardoso1</t>
  </si>
  <si>
    <t>Fernando Henrique Cardoso2</t>
  </si>
  <si>
    <t>PT</t>
  </si>
  <si>
    <t>Luiz Inacio Lula da Silva1</t>
  </si>
  <si>
    <t>Luiz Inacio Lula da Silva2</t>
  </si>
  <si>
    <t>Patricio Aylwin Azocar</t>
  </si>
  <si>
    <t>PDC (+PS,PPD)</t>
  </si>
  <si>
    <t>Eduardo Frei Ruiz-Tagle</t>
  </si>
  <si>
    <t>Ricardo Froilin Lagos Escobar</t>
  </si>
  <si>
    <t>PS (+DC, PPD)</t>
  </si>
  <si>
    <t>Veronica Michelle Bachelet Jeria</t>
  </si>
  <si>
    <t>Alfonso Antonio Lazaro Lopez Michelsen</t>
  </si>
  <si>
    <t>PC</t>
  </si>
  <si>
    <t>Julio Cesar Turbay Ayala</t>
  </si>
  <si>
    <t>PL</t>
  </si>
  <si>
    <t>Belisario Antonio Betancur Cuartas</t>
  </si>
  <si>
    <t>Virgilio Barco Vargas</t>
  </si>
  <si>
    <t>Cesar Augusto Gaviria Trujillo</t>
  </si>
  <si>
    <t>Ernesto Samper Pizano</t>
  </si>
  <si>
    <t>Andres Pastrana Arango</t>
  </si>
  <si>
    <t>Alvaro Uribe Velez1</t>
  </si>
  <si>
    <t>Primero Colombia</t>
  </si>
  <si>
    <t>Alvaro Uribe Velez2</t>
  </si>
  <si>
    <t>U</t>
  </si>
  <si>
    <t>Rodrigo Carazo Odio</t>
  </si>
  <si>
    <t>Unidad/PUSC</t>
  </si>
  <si>
    <t>Luis Alberto Monge Alvarez</t>
  </si>
  <si>
    <t>PLN</t>
  </si>
  <si>
    <t>Oscar Arias Sanchez1</t>
  </si>
  <si>
    <t>Rafael Angel Calderon Fournier</t>
  </si>
  <si>
    <t>PUSC</t>
  </si>
  <si>
    <t>Jose Maria Figueres Olsen</t>
  </si>
  <si>
    <t>Miguel Angel Rodriguez Echeverria</t>
  </si>
  <si>
    <t>Abel Pacheco de La Espriella</t>
  </si>
  <si>
    <t>Oscar Arias Sanchez2</t>
  </si>
  <si>
    <t>Laura Chinchilla Miranda</t>
  </si>
  <si>
    <t>Jaime Roldos Aguilera</t>
  </si>
  <si>
    <t>CFP (Concentracion de Fuerzas Populares)</t>
  </si>
  <si>
    <t>Luis Osvaldo Hurtado Larrea</t>
  </si>
  <si>
    <t>PSC (P, Social Cristiano)</t>
  </si>
  <si>
    <t>Leon Febres-Cordero Ribadeneyra</t>
  </si>
  <si>
    <t>Rodrigo Borja Cevallos</t>
  </si>
  <si>
    <t>ID</t>
  </si>
  <si>
    <t>Sixto Alfonso Duran Ballen Cordovez</t>
  </si>
  <si>
    <t>PUR-PCE</t>
  </si>
  <si>
    <t>Fabian Ernesto Alarcon Rivera</t>
  </si>
  <si>
    <t>PRE</t>
  </si>
  <si>
    <t>Jorge Jamil Mahuad Witt</t>
  </si>
  <si>
    <t>Gustavo Jose Joaquin Noboa Bejarano</t>
  </si>
  <si>
    <t>DP</t>
  </si>
  <si>
    <t>Lucio Edwin Gutierrez Borba</t>
  </si>
  <si>
    <t>PSP/MUPP-NP</t>
  </si>
  <si>
    <t>Luis Alfredo Palacio Gonzalez</t>
  </si>
  <si>
    <t>PAIS</t>
  </si>
  <si>
    <t>Rafael Vicente Correa Delgado1</t>
  </si>
  <si>
    <t>Rafael Vicente Correa Delgado2</t>
  </si>
  <si>
    <t>Rafael Vicente Correa Delgado3</t>
  </si>
  <si>
    <t>PAN</t>
  </si>
  <si>
    <t>PP</t>
  </si>
  <si>
    <t>Miguel de la Madrid Hurtado</t>
  </si>
  <si>
    <t>Mexico</t>
  </si>
  <si>
    <t>PRI</t>
  </si>
  <si>
    <t>Carlos Salinas de Gortari</t>
  </si>
  <si>
    <t>Ernesto Zedillo Ponce de Leon</t>
  </si>
  <si>
    <t>Vicente Fox Quesada</t>
  </si>
  <si>
    <t>Felipe de Jesus Calderon Hinojosa</t>
  </si>
  <si>
    <t>Enrique Pena Nieto</t>
  </si>
  <si>
    <t>Andres Rodriguez Pedotti</t>
  </si>
  <si>
    <t>ANR</t>
  </si>
  <si>
    <t>Juan Carlos Maria Wasmosy Monti</t>
  </si>
  <si>
    <t>Luis Angel Gonzalez Macchi</t>
  </si>
  <si>
    <t>Oscar Nicanor Duarte Frutos</t>
  </si>
  <si>
    <t>Fernando Armindo Lugo Mendez</t>
  </si>
  <si>
    <t>APC</t>
  </si>
  <si>
    <t>Horacio Manuel Cartes Jara</t>
  </si>
  <si>
    <t>Fernando Belaunde Terry</t>
  </si>
  <si>
    <t>Peru</t>
  </si>
  <si>
    <t>AP</t>
  </si>
  <si>
    <t>Alan Gabriel Ludwig Garc�a P�rez1</t>
  </si>
  <si>
    <t>APRA</t>
  </si>
  <si>
    <t>Alberto Kenya Fujimori Fujimori1</t>
  </si>
  <si>
    <t>CAMBIO90</t>
  </si>
  <si>
    <t>Alberto Kenya Fujimori Fujimori2</t>
  </si>
  <si>
    <t>Alberto Kenya Fujimori Fujimori3</t>
  </si>
  <si>
    <t>PERU2000</t>
  </si>
  <si>
    <t>Alejandro Celestino Toledo Manrique</t>
  </si>
  <si>
    <t>Alan Gabriel Ludwig Garcia Perez2</t>
  </si>
  <si>
    <t>Ollanta Moises Humala Tasso</t>
  </si>
  <si>
    <t>PNP</t>
  </si>
  <si>
    <t>Julio Maria Sanguinetti Coirolo1</t>
  </si>
  <si>
    <t>COLORADO</t>
  </si>
  <si>
    <t>Luis Alberto Lacalle de Herrera</t>
  </si>
  <si>
    <t>BLANCO</t>
  </si>
  <si>
    <t>Julio Maria Sanguinetti Coirolo2</t>
  </si>
  <si>
    <t>Jorge Luis Batlle Ibanez</t>
  </si>
  <si>
    <t>Tabare Ramon Vazquez Rosas</t>
  </si>
  <si>
    <t>EP-FA-NM</t>
  </si>
  <si>
    <t>Jose Alberto Mujica Cordano</t>
  </si>
  <si>
    <t>Luis Antonio Herrera Campins</t>
  </si>
  <si>
    <t>Copei</t>
  </si>
  <si>
    <t>Jaime Ramon Lusinchi</t>
  </si>
  <si>
    <t>AD</t>
  </si>
  <si>
    <t>Carlos Andres Perez Rodriguez</t>
  </si>
  <si>
    <t>Rafael Antonio Caldera Rodriguez</t>
  </si>
  <si>
    <t>CD</t>
  </si>
  <si>
    <t>Hugo Chavez1</t>
  </si>
  <si>
    <t>MVR</t>
  </si>
  <si>
    <t>Hugo Chavez2</t>
  </si>
  <si>
    <t>Hugo Chavez3</t>
  </si>
  <si>
    <t>6.1</t>
  </si>
  <si>
    <t>6.2</t>
  </si>
  <si>
    <t>7.1</t>
  </si>
  <si>
    <t>7.2</t>
  </si>
  <si>
    <t>8.1</t>
  </si>
  <si>
    <t>8.2</t>
  </si>
  <si>
    <t>Juan Evo Morales Ayma3</t>
  </si>
  <si>
    <t>Jeanine Añez</t>
  </si>
  <si>
    <t>Luis Arce</t>
  </si>
  <si>
    <t>Dilma Rousseff2</t>
  </si>
  <si>
    <t>Dilma Rousseff1</t>
  </si>
  <si>
    <t>Michel Temmer</t>
  </si>
  <si>
    <t>Jair Messias Bolsonaro</t>
  </si>
  <si>
    <t>6.3</t>
  </si>
  <si>
    <t>7.3</t>
  </si>
  <si>
    <t>8.3</t>
  </si>
  <si>
    <t>Michelle Bachelet</t>
  </si>
  <si>
    <t>Sebastian Piñera1</t>
  </si>
  <si>
    <t>Sebastián Piñera2</t>
  </si>
  <si>
    <t>Juan Manuel Santos Calderon1</t>
  </si>
  <si>
    <t>Juan Manuel Santos Calderon2</t>
  </si>
  <si>
    <t>Iván Duque Márquez</t>
  </si>
  <si>
    <t>Luis Guillermo Solís Rivera</t>
  </si>
  <si>
    <t>Carlos Alvarado Quesada</t>
  </si>
  <si>
    <t xml:space="preserve">Lenín Moreno Garcés </t>
  </si>
  <si>
    <t>Andrés Manuel López Obrador</t>
  </si>
  <si>
    <t>Mario Abdo Beníte</t>
  </si>
  <si>
    <t>Pedro Pablo Kuczynski</t>
  </si>
  <si>
    <t>Martín Vizcarra</t>
  </si>
  <si>
    <t>Francisco Sagasti</t>
  </si>
  <si>
    <t xml:space="preserve">Tabaré Vázquez </t>
  </si>
  <si>
    <t>Luis Alberto Lacalle Pou</t>
  </si>
  <si>
    <t>Nicolas Maduro Moros2</t>
  </si>
  <si>
    <t>Nicolas Maduro Moros1</t>
  </si>
  <si>
    <t>Raul Ricardo Alfonsin</t>
  </si>
  <si>
    <t>Polarización Polticia P</t>
  </si>
  <si>
    <t>Polarización Social P</t>
  </si>
  <si>
    <t>PP + PS</t>
  </si>
  <si>
    <t>Poliarquía Prom.</t>
  </si>
  <si>
    <t>PE</t>
  </si>
  <si>
    <t>FPCH</t>
  </si>
  <si>
    <t>IdologyCH</t>
  </si>
  <si>
    <t>CHISOLS</t>
  </si>
  <si>
    <t>Cambio de Lider</t>
  </si>
  <si>
    <t>1983 -1987</t>
  </si>
  <si>
    <t>1988 -1992</t>
  </si>
  <si>
    <t>1993 -1997</t>
  </si>
  <si>
    <t>1998 - 2002</t>
  </si>
  <si>
    <t>2003 - 2007</t>
  </si>
  <si>
    <t>2008 - 2012</t>
  </si>
  <si>
    <t>2013 - 2017</t>
  </si>
  <si>
    <t>2018 - 2021</t>
  </si>
  <si>
    <t>Terminos</t>
  </si>
  <si>
    <t>Cambio Promedio de la Política Exterior</t>
  </si>
  <si>
    <t>Cambio Promedio de la Ideología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</si>
</sst>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3" fillId="0" borderId="0" xfId="1"/>
    <xf numFmtId="3" fontId="3" fillId="0" borderId="0" xfId="1" applyNumberFormat="1"/>
    <xf numFmtId="11" fontId="3" fillId="0" borderId="0" xfId="1" applyNumberFormat="1"/>
    <xf numFmtId="16" fontId="4" fillId="0" borderId="0" xfId="0" applyNumberFormat="1" applyFont="1"/>
    <xf numFmtId="2" fontId="3" fillId="0" borderId="0" xfId="1" applyNumberFormat="1"/>
    <xf numFmtId="164" fontId="3" fillId="0" borderId="0" xfId="1" applyNumberFormat="1"/>
    <xf numFmtId="0" fontId="3" fillId="0" borderId="0" xfId="1" applyAlignment="1">
      <alignment horizontal="right"/>
    </xf>
    <xf numFmtId="0" fontId="3" fillId="0" borderId="0" xfId="1" applyAlignment="1">
      <alignment horizontal="center"/>
    </xf>
    <xf numFmtId="0" fontId="2" fillId="0" borderId="0" xfId="1" applyFont="1"/>
    <xf numFmtId="0" fontId="1" fillId="0" borderId="0" xfId="1" applyFont="1"/>
    <xf numFmtId="2" fontId="0" fillId="0" borderId="0" xfId="0" applyNumberFormat="1"/>
    <xf numFmtId="0" fontId="6" fillId="0" borderId="0" xfId="0" applyFont="1"/>
  </cellXfs>
  <cellStyles count="2">
    <cellStyle name="Normal" xfId="0" builtinId="0"/>
    <cellStyle name="Normal 2" xfId="1" xr:uid="{96653006-8390-441D-BC2F-E8DC659FB8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Política Exterior e Ideología del Lider en América Latina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Hoja2!$J$4</c:f>
              <c:strCache>
                <c:ptCount val="1"/>
                <c:pt idx="0">
                  <c:v>Cambio Promedio de la Política Exterior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unito" pitchFamily="2" charset="0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Hoja2!$I$5:$I$12</c:f>
              <c:strCache>
                <c:ptCount val="8"/>
                <c:pt idx="0">
                  <c:v>1983 -1987</c:v>
                </c:pt>
                <c:pt idx="1">
                  <c:v>1988 -1992</c:v>
                </c:pt>
                <c:pt idx="2">
                  <c:v>1993 -1997</c:v>
                </c:pt>
                <c:pt idx="3">
                  <c:v>1998 - 2002</c:v>
                </c:pt>
                <c:pt idx="4">
                  <c:v>2003 - 2007</c:v>
                </c:pt>
                <c:pt idx="5">
                  <c:v>2008 - 2012</c:v>
                </c:pt>
                <c:pt idx="6">
                  <c:v>2013 - 2017</c:v>
                </c:pt>
                <c:pt idx="7">
                  <c:v>2018 - 2021</c:v>
                </c:pt>
              </c:strCache>
            </c:strRef>
          </c:cat>
          <c:val>
            <c:numRef>
              <c:f>Hoja2!$J$5:$J$12</c:f>
              <c:numCache>
                <c:formatCode>General</c:formatCode>
                <c:ptCount val="8"/>
                <c:pt idx="0">
                  <c:v>1.1399999999999999</c:v>
                </c:pt>
                <c:pt idx="1">
                  <c:v>1.59</c:v>
                </c:pt>
                <c:pt idx="2">
                  <c:v>0.54</c:v>
                </c:pt>
                <c:pt idx="3">
                  <c:v>0.75</c:v>
                </c:pt>
                <c:pt idx="4">
                  <c:v>1.03</c:v>
                </c:pt>
                <c:pt idx="5">
                  <c:v>0.49</c:v>
                </c:pt>
                <c:pt idx="6">
                  <c:v>1.35</c:v>
                </c:pt>
                <c:pt idx="7">
                  <c:v>1.66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3-4AD0-ABE1-1E9D07990CAF}"/>
            </c:ext>
          </c:extLst>
        </c:ser>
        <c:ser>
          <c:idx val="1"/>
          <c:order val="1"/>
          <c:tx>
            <c:strRef>
              <c:f>Hoja2!$K$4</c:f>
              <c:strCache>
                <c:ptCount val="1"/>
                <c:pt idx="0">
                  <c:v>Cambio Promedio de la Ideología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unito" pitchFamily="2" charset="0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Hoja2!$I$5:$I$12</c:f>
              <c:strCache>
                <c:ptCount val="8"/>
                <c:pt idx="0">
                  <c:v>1983 -1987</c:v>
                </c:pt>
                <c:pt idx="1">
                  <c:v>1988 -1992</c:v>
                </c:pt>
                <c:pt idx="2">
                  <c:v>1993 -1997</c:v>
                </c:pt>
                <c:pt idx="3">
                  <c:v>1998 - 2002</c:v>
                </c:pt>
                <c:pt idx="4">
                  <c:v>2003 - 2007</c:v>
                </c:pt>
                <c:pt idx="5">
                  <c:v>2008 - 2012</c:v>
                </c:pt>
                <c:pt idx="6">
                  <c:v>2013 - 2017</c:v>
                </c:pt>
                <c:pt idx="7">
                  <c:v>2018 - 2021</c:v>
                </c:pt>
              </c:strCache>
            </c:strRef>
          </c:cat>
          <c:val>
            <c:numRef>
              <c:f>Hoja2!$K$5:$K$12</c:f>
              <c:numCache>
                <c:formatCode>General</c:formatCode>
                <c:ptCount val="8"/>
                <c:pt idx="0">
                  <c:v>1.19</c:v>
                </c:pt>
                <c:pt idx="1">
                  <c:v>1.45</c:v>
                </c:pt>
                <c:pt idx="2">
                  <c:v>0.68</c:v>
                </c:pt>
                <c:pt idx="3" formatCode="0.00">
                  <c:v>0.8</c:v>
                </c:pt>
                <c:pt idx="4">
                  <c:v>1.18</c:v>
                </c:pt>
                <c:pt idx="5">
                  <c:v>1.02</c:v>
                </c:pt>
                <c:pt idx="6">
                  <c:v>1.73</c:v>
                </c:pt>
                <c:pt idx="7">
                  <c:v>1.77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23-4AD0-ABE1-1E9D07990CA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10"/>
        <c:axId val="1427638559"/>
        <c:axId val="1427635647"/>
      </c:barChart>
      <c:catAx>
        <c:axId val="142763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7635647"/>
        <c:crosses val="autoZero"/>
        <c:auto val="1"/>
        <c:lblAlgn val="ctr"/>
        <c:lblOffset val="100"/>
        <c:noMultiLvlLbl val="0"/>
      </c:catAx>
      <c:valAx>
        <c:axId val="1427635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763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Argentina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Hoja1!$C$2:$C$11</c:f>
              <c:numCache>
                <c:formatCode>General</c:formatCode>
                <c:ptCount val="10"/>
                <c:pt idx="0">
                  <c:v>1983</c:v>
                </c:pt>
                <c:pt idx="1">
                  <c:v>1989</c:v>
                </c:pt>
                <c:pt idx="2">
                  <c:v>1994</c:v>
                </c:pt>
                <c:pt idx="3">
                  <c:v>1999</c:v>
                </c:pt>
                <c:pt idx="4">
                  <c:v>2001</c:v>
                </c:pt>
                <c:pt idx="5">
                  <c:v>2002</c:v>
                </c:pt>
                <c:pt idx="6">
                  <c:v>2006</c:v>
                </c:pt>
                <c:pt idx="7">
                  <c:v>2011</c:v>
                </c:pt>
                <c:pt idx="8">
                  <c:v>2015</c:v>
                </c:pt>
                <c:pt idx="9">
                  <c:v>2020</c:v>
                </c:pt>
              </c:numCache>
            </c:numRef>
          </c:xVal>
          <c:yVal>
            <c:numRef>
              <c:f>Hoja1!$D$2:$D$11</c:f>
              <c:numCache>
                <c:formatCode>General</c:formatCode>
                <c:ptCount val="10"/>
                <c:pt idx="0">
                  <c:v>3.6</c:v>
                </c:pt>
                <c:pt idx="1">
                  <c:v>6.1</c:v>
                </c:pt>
                <c:pt idx="2">
                  <c:v>6.3</c:v>
                </c:pt>
                <c:pt idx="3">
                  <c:v>5.9</c:v>
                </c:pt>
                <c:pt idx="4">
                  <c:v>4.5999999999999996</c:v>
                </c:pt>
                <c:pt idx="5">
                  <c:v>2.8</c:v>
                </c:pt>
                <c:pt idx="6">
                  <c:v>2.5</c:v>
                </c:pt>
                <c:pt idx="7">
                  <c:v>1.9</c:v>
                </c:pt>
                <c:pt idx="8">
                  <c:v>6.3</c:v>
                </c:pt>
                <c:pt idx="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0-472A-BDBD-323356276551}"/>
            </c:ext>
          </c:extLst>
        </c:ser>
        <c:ser>
          <c:idx val="1"/>
          <c:order val="1"/>
          <c:tx>
            <c:strRef>
              <c:f>Hoja1!$B$12</c:f>
              <c:strCache>
                <c:ptCount val="1"/>
                <c:pt idx="0">
                  <c:v>Brasil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Hoja1!$C$12:$C$22</c:f>
              <c:numCache>
                <c:formatCode>General</c:formatCode>
                <c:ptCount val="11"/>
                <c:pt idx="0">
                  <c:v>1985</c:v>
                </c:pt>
                <c:pt idx="1">
                  <c:v>1990</c:v>
                </c:pt>
                <c:pt idx="2">
                  <c:v>1992</c:v>
                </c:pt>
                <c:pt idx="3">
                  <c:v>1995</c:v>
                </c:pt>
                <c:pt idx="4">
                  <c:v>1999</c:v>
                </c:pt>
                <c:pt idx="5">
                  <c:v>2003</c:v>
                </c:pt>
                <c:pt idx="6">
                  <c:v>2007</c:v>
                </c:pt>
                <c:pt idx="7">
                  <c:v>2011</c:v>
                </c:pt>
                <c:pt idx="8">
                  <c:v>2015</c:v>
                </c:pt>
                <c:pt idx="9">
                  <c:v>2016</c:v>
                </c:pt>
                <c:pt idx="10">
                  <c:v>2019</c:v>
                </c:pt>
              </c:numCache>
            </c:numRef>
          </c:xVal>
          <c:yVal>
            <c:numRef>
              <c:f>Hoja1!$D$12:$D$22</c:f>
              <c:numCache>
                <c:formatCode>General</c:formatCode>
                <c:ptCount val="11"/>
                <c:pt idx="0">
                  <c:v>5.1100000000000003</c:v>
                </c:pt>
                <c:pt idx="1">
                  <c:v>5.67</c:v>
                </c:pt>
                <c:pt idx="2">
                  <c:v>4.4400000000000004</c:v>
                </c:pt>
                <c:pt idx="3">
                  <c:v>4.78</c:v>
                </c:pt>
                <c:pt idx="4">
                  <c:v>4.78</c:v>
                </c:pt>
                <c:pt idx="5">
                  <c:v>2.44</c:v>
                </c:pt>
                <c:pt idx="6">
                  <c:v>2.56</c:v>
                </c:pt>
                <c:pt idx="7">
                  <c:v>3</c:v>
                </c:pt>
                <c:pt idx="8">
                  <c:v>2.6</c:v>
                </c:pt>
                <c:pt idx="9">
                  <c:v>5.0999999999999996</c:v>
                </c:pt>
                <c:pt idx="10">
                  <c:v>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90-472A-BDBD-323356276551}"/>
            </c:ext>
          </c:extLst>
        </c:ser>
        <c:ser>
          <c:idx val="2"/>
          <c:order val="2"/>
          <c:tx>
            <c:strRef>
              <c:f>Hoja1!$B$23</c:f>
              <c:strCache>
                <c:ptCount val="1"/>
                <c:pt idx="0">
                  <c:v>Chile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Hoja1!$C$23:$C$29</c:f>
              <c:numCache>
                <c:formatCode>General</c:formatCode>
                <c:ptCount val="7"/>
                <c:pt idx="0">
                  <c:v>1990</c:v>
                </c:pt>
                <c:pt idx="1">
                  <c:v>1994</c:v>
                </c:pt>
                <c:pt idx="2">
                  <c:v>2000</c:v>
                </c:pt>
                <c:pt idx="3">
                  <c:v>2006</c:v>
                </c:pt>
                <c:pt idx="4">
                  <c:v>2010</c:v>
                </c:pt>
                <c:pt idx="5">
                  <c:v>2014</c:v>
                </c:pt>
                <c:pt idx="6">
                  <c:v>2018</c:v>
                </c:pt>
              </c:numCache>
            </c:numRef>
          </c:xVal>
          <c:yVal>
            <c:numRef>
              <c:f>Hoja1!$D$23:$D$29</c:f>
              <c:numCache>
                <c:formatCode>General</c:formatCode>
                <c:ptCount val="7"/>
                <c:pt idx="0">
                  <c:v>4</c:v>
                </c:pt>
                <c:pt idx="1">
                  <c:v>4.1399999999999997</c:v>
                </c:pt>
                <c:pt idx="2">
                  <c:v>3.57</c:v>
                </c:pt>
                <c:pt idx="3">
                  <c:v>2.86</c:v>
                </c:pt>
                <c:pt idx="4">
                  <c:v>5.7</c:v>
                </c:pt>
                <c:pt idx="5">
                  <c:v>2.9</c:v>
                </c:pt>
                <c:pt idx="6">
                  <c:v>5.81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90-472A-BDBD-323356276551}"/>
            </c:ext>
          </c:extLst>
        </c:ser>
        <c:ser>
          <c:idx val="4"/>
          <c:order val="3"/>
          <c:tx>
            <c:strRef>
              <c:f>Hoja1!#REF!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Hoja1!$C$30:$C$38</c:f>
              <c:numCache>
                <c:formatCode>General</c:formatCode>
                <c:ptCount val="9"/>
                <c:pt idx="0">
                  <c:v>1986</c:v>
                </c:pt>
                <c:pt idx="1">
                  <c:v>1990</c:v>
                </c:pt>
                <c:pt idx="2">
                  <c:v>1994</c:v>
                </c:pt>
                <c:pt idx="3">
                  <c:v>1998</c:v>
                </c:pt>
                <c:pt idx="4">
                  <c:v>2002</c:v>
                </c:pt>
                <c:pt idx="5">
                  <c:v>2006</c:v>
                </c:pt>
                <c:pt idx="6">
                  <c:v>2010</c:v>
                </c:pt>
                <c:pt idx="7">
                  <c:v>2014</c:v>
                </c:pt>
                <c:pt idx="8">
                  <c:v>2018</c:v>
                </c:pt>
              </c:numCache>
            </c:numRef>
          </c:xVal>
          <c:yVal>
            <c:numRef>
              <c:f>Hoja1!$D$30:$D$38</c:f>
              <c:numCache>
                <c:formatCode>General</c:formatCode>
                <c:ptCount val="9"/>
                <c:pt idx="0">
                  <c:v>4.8600000000000003</c:v>
                </c:pt>
                <c:pt idx="1">
                  <c:v>5.43</c:v>
                </c:pt>
                <c:pt idx="2">
                  <c:v>4.1399999999999997</c:v>
                </c:pt>
                <c:pt idx="3">
                  <c:v>6</c:v>
                </c:pt>
                <c:pt idx="4">
                  <c:v>6.86</c:v>
                </c:pt>
                <c:pt idx="5">
                  <c:v>6.86</c:v>
                </c:pt>
                <c:pt idx="6">
                  <c:v>4.57</c:v>
                </c:pt>
                <c:pt idx="7">
                  <c:v>5</c:v>
                </c:pt>
                <c:pt idx="8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90-472A-BDBD-323356276551}"/>
            </c:ext>
          </c:extLst>
        </c:ser>
        <c:ser>
          <c:idx val="3"/>
          <c:order val="4"/>
          <c:tx>
            <c:strRef>
              <c:f>Hoja1!#REF!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Hoja1!$C$39:$C$44</c:f>
              <c:numCache>
                <c:formatCode>General</c:formatCode>
                <c:ptCount val="6"/>
                <c:pt idx="0">
                  <c:v>1988</c:v>
                </c:pt>
                <c:pt idx="1">
                  <c:v>1994</c:v>
                </c:pt>
                <c:pt idx="2">
                  <c:v>2000</c:v>
                </c:pt>
                <c:pt idx="3">
                  <c:v>2006</c:v>
                </c:pt>
                <c:pt idx="4">
                  <c:v>2013</c:v>
                </c:pt>
                <c:pt idx="5">
                  <c:v>2019</c:v>
                </c:pt>
              </c:numCache>
            </c:numRef>
          </c:xVal>
          <c:yVal>
            <c:numRef>
              <c:f>Hoja1!$D$39:$D$44</c:f>
              <c:numCache>
                <c:formatCode>General</c:formatCode>
                <c:ptCount val="6"/>
                <c:pt idx="0">
                  <c:v>5.75</c:v>
                </c:pt>
                <c:pt idx="1">
                  <c:v>4.63</c:v>
                </c:pt>
                <c:pt idx="2">
                  <c:v>5.88</c:v>
                </c:pt>
                <c:pt idx="3">
                  <c:v>6.13</c:v>
                </c:pt>
                <c:pt idx="4">
                  <c:v>5.38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90-472A-BDBD-323356276551}"/>
            </c:ext>
          </c:extLst>
        </c:ser>
        <c:ser>
          <c:idx val="5"/>
          <c:order val="5"/>
          <c:tx>
            <c:strRef>
              <c:f>Hoja1!$B$45</c:f>
              <c:strCache>
                <c:ptCount val="1"/>
                <c:pt idx="0">
                  <c:v>Venezuela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Hoja1!$C$45:$C$52</c:f>
              <c:numCache>
                <c:formatCode>General</c:formatCode>
                <c:ptCount val="8"/>
                <c:pt idx="0">
                  <c:v>1984</c:v>
                </c:pt>
                <c:pt idx="1">
                  <c:v>1989</c:v>
                </c:pt>
                <c:pt idx="2">
                  <c:v>1994</c:v>
                </c:pt>
                <c:pt idx="3">
                  <c:v>1999</c:v>
                </c:pt>
                <c:pt idx="4">
                  <c:v>2003</c:v>
                </c:pt>
                <c:pt idx="5">
                  <c:v>2008</c:v>
                </c:pt>
                <c:pt idx="6">
                  <c:v>2013</c:v>
                </c:pt>
                <c:pt idx="7">
                  <c:v>2019</c:v>
                </c:pt>
              </c:numCache>
            </c:numRef>
          </c:xVal>
          <c:yVal>
            <c:numRef>
              <c:f>Hoja1!$D$45:$D$52</c:f>
              <c:numCache>
                <c:formatCode>General</c:formatCode>
                <c:ptCount val="8"/>
                <c:pt idx="0">
                  <c:v>3.88</c:v>
                </c:pt>
                <c:pt idx="1">
                  <c:v>4.75</c:v>
                </c:pt>
                <c:pt idx="2">
                  <c:v>4.13</c:v>
                </c:pt>
                <c:pt idx="3">
                  <c:v>2.13</c:v>
                </c:pt>
                <c:pt idx="4">
                  <c:v>1.63</c:v>
                </c:pt>
                <c:pt idx="5">
                  <c:v>1.25</c:v>
                </c:pt>
                <c:pt idx="6">
                  <c:v>2.44</c:v>
                </c:pt>
                <c:pt idx="7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90-472A-BDBD-323356276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814575"/>
        <c:axId val="1425815823"/>
      </c:scatterChart>
      <c:valAx>
        <c:axId val="142581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5815823"/>
        <c:crosses val="autoZero"/>
        <c:crossBetween val="midCat"/>
      </c:valAx>
      <c:valAx>
        <c:axId val="142581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5814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Hoja1!$H$2:$H$9</c:f>
              <c:strCache>
                <c:ptCount val="8"/>
                <c:pt idx="0">
                  <c:v>1983 -1987</c:v>
                </c:pt>
                <c:pt idx="1">
                  <c:v>1988 -1992</c:v>
                </c:pt>
                <c:pt idx="2">
                  <c:v>1993 -1997</c:v>
                </c:pt>
                <c:pt idx="3">
                  <c:v>1998 - 2002</c:v>
                </c:pt>
                <c:pt idx="4">
                  <c:v>2003 - 2007</c:v>
                </c:pt>
                <c:pt idx="5">
                  <c:v>2008 - 2012</c:v>
                </c:pt>
                <c:pt idx="6">
                  <c:v>2013 - 2017</c:v>
                </c:pt>
                <c:pt idx="7">
                  <c:v>2018 - 2021</c:v>
                </c:pt>
              </c:strCache>
            </c:strRef>
          </c:cat>
          <c:val>
            <c:numRef>
              <c:f>Hoja1!$I$2:$I$9</c:f>
              <c:numCache>
                <c:formatCode>General</c:formatCode>
                <c:ptCount val="8"/>
                <c:pt idx="0">
                  <c:v>0.33</c:v>
                </c:pt>
                <c:pt idx="1">
                  <c:v>1.1399999999999999</c:v>
                </c:pt>
                <c:pt idx="2">
                  <c:v>0.61</c:v>
                </c:pt>
                <c:pt idx="3">
                  <c:v>1.1100000000000001</c:v>
                </c:pt>
                <c:pt idx="4" formatCode="0.00">
                  <c:v>0.6</c:v>
                </c:pt>
                <c:pt idx="5">
                  <c:v>1.31</c:v>
                </c:pt>
                <c:pt idx="6">
                  <c:v>1.78</c:v>
                </c:pt>
                <c:pt idx="7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3-4819-8CAB-F849C9940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7537215"/>
        <c:axId val="1257535967"/>
      </c:barChart>
      <c:catAx>
        <c:axId val="125753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57535967"/>
        <c:crosses val="autoZero"/>
        <c:auto val="1"/>
        <c:lblAlgn val="ctr"/>
        <c:lblOffset val="100"/>
        <c:noMultiLvlLbl val="0"/>
      </c:catAx>
      <c:valAx>
        <c:axId val="125753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5753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</xdr:colOff>
      <xdr:row>13</xdr:row>
      <xdr:rowOff>13607</xdr:rowOff>
    </xdr:from>
    <xdr:to>
      <xdr:col>18</xdr:col>
      <xdr:colOff>449038</xdr:colOff>
      <xdr:row>28</xdr:row>
      <xdr:rowOff>108857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BD5C01-4929-44A0-BE3C-B564D51E5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247649</xdr:colOff>
      <xdr:row>7</xdr:row>
      <xdr:rowOff>6803</xdr:rowOff>
    </xdr:from>
    <xdr:to>
      <xdr:col>20</xdr:col>
      <xdr:colOff>85724</xdr:colOff>
      <xdr:row>23</xdr:row>
      <xdr:rowOff>160565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8FB8A44-E88D-45FA-918A-D9FDD7ABD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142873</xdr:colOff>
      <xdr:row>9</xdr:row>
      <xdr:rowOff>9525</xdr:rowOff>
    </xdr:from>
    <xdr:to>
      <xdr:col>12</xdr:col>
      <xdr:colOff>258534</xdr:colOff>
      <xdr:row>25</xdr:row>
      <xdr:rowOff>140153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BA3E88F-DB0A-421E-B79B-178000DBC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KF67"/>
  <sheetViews>
    <sheetView topLeftCell="BW1" workbookViewId="0">
      <pane ySplit="1" topLeftCell="A2" activePane="bottomLeft" state="frozen"/>
      <selection pane="bottomLeft" activeCell="CD1" sqref="CD1"/>
    </sheetView>
  </sheetViews>
  <sheetFormatPr baseColWidth="10" defaultColWidth="12.5546875" defaultRowHeight="15.75" customHeight="1" x14ac:dyDescent="0.25"/>
  <cols>
    <col min="1" max="292" width="18.88671875" customWidth="1"/>
  </cols>
  <sheetData>
    <row r="1" spans="1:292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419</v>
      </c>
      <c r="O1" s="1" t="s">
        <v>420</v>
      </c>
      <c r="P1" s="1" t="s">
        <v>13</v>
      </c>
      <c r="Q1" s="1" t="s">
        <v>14</v>
      </c>
      <c r="R1" s="1" t="s">
        <v>421</v>
      </c>
      <c r="S1" s="1" t="s">
        <v>422</v>
      </c>
      <c r="T1" s="1" t="s">
        <v>15</v>
      </c>
      <c r="U1" s="1" t="s">
        <v>16</v>
      </c>
      <c r="V1" s="1" t="s">
        <v>423</v>
      </c>
      <c r="W1" s="1" t="s">
        <v>424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419</v>
      </c>
      <c r="BO1" s="1" t="s">
        <v>420</v>
      </c>
      <c r="BP1" s="1" t="s">
        <v>432</v>
      </c>
      <c r="BQ1" s="1" t="s">
        <v>59</v>
      </c>
      <c r="BR1" s="1" t="s">
        <v>60</v>
      </c>
      <c r="BS1" s="1" t="s">
        <v>61</v>
      </c>
      <c r="BT1" s="7" t="s">
        <v>421</v>
      </c>
      <c r="BU1" s="1" t="s">
        <v>422</v>
      </c>
      <c r="BV1" s="1" t="s">
        <v>433</v>
      </c>
      <c r="BW1" s="1" t="s">
        <v>62</v>
      </c>
      <c r="BX1" s="1" t="s">
        <v>63</v>
      </c>
      <c r="BY1" s="1" t="s">
        <v>64</v>
      </c>
      <c r="BZ1" s="1" t="s">
        <v>423</v>
      </c>
      <c r="CA1" s="1" t="s">
        <v>424</v>
      </c>
      <c r="CB1" s="1" t="s">
        <v>434</v>
      </c>
      <c r="CC1" s="1" t="s">
        <v>65</v>
      </c>
      <c r="CD1" s="1" t="s">
        <v>66</v>
      </c>
      <c r="CE1" s="1" t="s">
        <v>67</v>
      </c>
      <c r="CF1" s="1" t="s">
        <v>68</v>
      </c>
      <c r="CG1" s="1" t="s">
        <v>69</v>
      </c>
      <c r="CH1" s="1" t="s">
        <v>70</v>
      </c>
      <c r="CI1" s="1" t="s">
        <v>71</v>
      </c>
      <c r="CJ1" s="1" t="s">
        <v>72</v>
      </c>
      <c r="CK1" s="1" t="s">
        <v>73</v>
      </c>
      <c r="CL1" s="1" t="s">
        <v>74</v>
      </c>
      <c r="CM1" s="1" t="s">
        <v>75</v>
      </c>
      <c r="CN1" s="1" t="s">
        <v>76</v>
      </c>
      <c r="CO1" s="1" t="s">
        <v>419</v>
      </c>
      <c r="CP1" s="1" t="s">
        <v>420</v>
      </c>
      <c r="CQ1" s="1" t="s">
        <v>77</v>
      </c>
      <c r="CR1" s="1" t="s">
        <v>78</v>
      </c>
      <c r="CS1" s="1" t="s">
        <v>421</v>
      </c>
      <c r="CT1" s="1" t="s">
        <v>422</v>
      </c>
      <c r="CU1" s="1" t="s">
        <v>79</v>
      </c>
      <c r="CV1" s="1" t="s">
        <v>80</v>
      </c>
      <c r="CW1" s="1" t="s">
        <v>423</v>
      </c>
      <c r="CX1" s="1" t="s">
        <v>424</v>
      </c>
      <c r="CY1" s="1" t="s">
        <v>81</v>
      </c>
      <c r="CZ1" s="1" t="s">
        <v>81</v>
      </c>
      <c r="DA1" s="1" t="s">
        <v>82</v>
      </c>
      <c r="DB1" s="1" t="s">
        <v>83</v>
      </c>
      <c r="DC1" s="1" t="s">
        <v>84</v>
      </c>
      <c r="DD1" s="1" t="s">
        <v>85</v>
      </c>
      <c r="DE1" s="1" t="s">
        <v>86</v>
      </c>
      <c r="DF1" s="1" t="s">
        <v>87</v>
      </c>
      <c r="DG1" s="1" t="s">
        <v>88</v>
      </c>
      <c r="DH1" s="1" t="s">
        <v>89</v>
      </c>
      <c r="DI1" s="1" t="s">
        <v>90</v>
      </c>
      <c r="DJ1" s="1" t="s">
        <v>91</v>
      </c>
      <c r="DK1" s="1" t="s">
        <v>419</v>
      </c>
      <c r="DL1" s="1" t="s">
        <v>420</v>
      </c>
      <c r="DM1" s="1" t="s">
        <v>92</v>
      </c>
      <c r="DN1" s="1" t="s">
        <v>93</v>
      </c>
      <c r="DO1" s="1" t="s">
        <v>421</v>
      </c>
      <c r="DP1" s="1" t="s">
        <v>422</v>
      </c>
      <c r="DQ1" s="1" t="s">
        <v>94</v>
      </c>
      <c r="DR1" s="1" t="s">
        <v>95</v>
      </c>
      <c r="DS1" s="1" t="s">
        <v>423</v>
      </c>
      <c r="DT1" s="1" t="s">
        <v>424</v>
      </c>
      <c r="DU1" s="1" t="s">
        <v>96</v>
      </c>
      <c r="DV1" s="1" t="s">
        <v>97</v>
      </c>
      <c r="DW1" s="1" t="s">
        <v>98</v>
      </c>
      <c r="DX1" s="1" t="s">
        <v>99</v>
      </c>
      <c r="DY1" s="1" t="s">
        <v>100</v>
      </c>
      <c r="DZ1" s="1" t="s">
        <v>101</v>
      </c>
      <c r="EA1" s="1" t="s">
        <v>102</v>
      </c>
      <c r="EB1" s="1" t="s">
        <v>103</v>
      </c>
      <c r="EC1" s="1" t="s">
        <v>104</v>
      </c>
      <c r="ED1" s="1" t="s">
        <v>105</v>
      </c>
      <c r="EE1" s="1" t="s">
        <v>106</v>
      </c>
      <c r="EF1" s="1" t="s">
        <v>107</v>
      </c>
      <c r="EG1" s="1" t="s">
        <v>419</v>
      </c>
      <c r="EH1" s="1" t="s">
        <v>420</v>
      </c>
      <c r="EI1" s="1" t="s">
        <v>108</v>
      </c>
      <c r="EJ1" s="1" t="s">
        <v>109</v>
      </c>
      <c r="EK1" s="1" t="s">
        <v>421</v>
      </c>
      <c r="EL1" s="1" t="s">
        <v>422</v>
      </c>
      <c r="EM1" s="1" t="s">
        <v>110</v>
      </c>
      <c r="EN1" s="1" t="s">
        <v>111</v>
      </c>
      <c r="EO1" s="1" t="s">
        <v>423</v>
      </c>
      <c r="EP1" s="1" t="s">
        <v>424</v>
      </c>
      <c r="EQ1" s="1" t="s">
        <v>112</v>
      </c>
      <c r="ER1" s="1" t="s">
        <v>113</v>
      </c>
      <c r="ES1" s="1" t="s">
        <v>114</v>
      </c>
      <c r="ET1" s="1" t="s">
        <v>115</v>
      </c>
      <c r="EU1" s="1" t="s">
        <v>116</v>
      </c>
      <c r="EV1" s="1" t="s">
        <v>117</v>
      </c>
      <c r="EW1" s="1" t="s">
        <v>118</v>
      </c>
      <c r="EX1" s="1" t="s">
        <v>119</v>
      </c>
      <c r="EY1" s="1" t="s">
        <v>120</v>
      </c>
      <c r="EZ1" s="1" t="s">
        <v>121</v>
      </c>
      <c r="FA1" s="1" t="s">
        <v>122</v>
      </c>
      <c r="FB1" s="1" t="s">
        <v>123</v>
      </c>
      <c r="FC1" s="1" t="s">
        <v>419</v>
      </c>
      <c r="FD1" s="1" t="s">
        <v>420</v>
      </c>
      <c r="FE1" s="1" t="s">
        <v>124</v>
      </c>
      <c r="FF1" s="1" t="s">
        <v>125</v>
      </c>
      <c r="FG1" s="1" t="s">
        <v>421</v>
      </c>
      <c r="FH1" s="1" t="s">
        <v>422</v>
      </c>
      <c r="FI1" s="1" t="s">
        <v>126</v>
      </c>
      <c r="FJ1" s="1" t="s">
        <v>127</v>
      </c>
      <c r="FK1" s="1" t="s">
        <v>423</v>
      </c>
      <c r="FL1" s="1" t="s">
        <v>424</v>
      </c>
      <c r="FM1" s="1" t="s">
        <v>128</v>
      </c>
      <c r="FN1" s="1" t="s">
        <v>129</v>
      </c>
      <c r="FO1" s="1" t="s">
        <v>130</v>
      </c>
      <c r="FP1" s="1" t="s">
        <v>131</v>
      </c>
      <c r="FQ1" s="1" t="s">
        <v>132</v>
      </c>
      <c r="FR1" s="1" t="s">
        <v>133</v>
      </c>
      <c r="FS1" s="1" t="s">
        <v>419</v>
      </c>
      <c r="FT1" s="1" t="s">
        <v>134</v>
      </c>
      <c r="FU1" s="1" t="s">
        <v>421</v>
      </c>
      <c r="FV1" s="1" t="s">
        <v>135</v>
      </c>
      <c r="FW1" s="1" t="s">
        <v>423</v>
      </c>
      <c r="FX1" s="1" t="s">
        <v>136</v>
      </c>
      <c r="FY1" s="1" t="s">
        <v>137</v>
      </c>
      <c r="FZ1" s="1" t="s">
        <v>138</v>
      </c>
      <c r="GA1" s="1" t="s">
        <v>139</v>
      </c>
      <c r="GB1" s="1" t="s">
        <v>140</v>
      </c>
      <c r="GC1" s="1" t="s">
        <v>141</v>
      </c>
      <c r="GD1" s="1" t="s">
        <v>142</v>
      </c>
      <c r="GE1" s="1" t="s">
        <v>143</v>
      </c>
      <c r="GF1" s="1" t="s">
        <v>144</v>
      </c>
      <c r="GG1" s="1" t="s">
        <v>145</v>
      </c>
      <c r="GH1" s="1" t="s">
        <v>146</v>
      </c>
      <c r="GI1" s="1" t="s">
        <v>147</v>
      </c>
      <c r="GJ1" s="1" t="s">
        <v>419</v>
      </c>
      <c r="GK1" s="1" t="s">
        <v>420</v>
      </c>
      <c r="GL1" s="1" t="s">
        <v>148</v>
      </c>
      <c r="GM1" s="1" t="s">
        <v>149</v>
      </c>
      <c r="GN1" s="1" t="s">
        <v>421</v>
      </c>
      <c r="GO1" s="1" t="s">
        <v>422</v>
      </c>
      <c r="GP1" s="1" t="s">
        <v>150</v>
      </c>
      <c r="GQ1" s="1" t="s">
        <v>151</v>
      </c>
      <c r="GR1" s="1" t="s">
        <v>423</v>
      </c>
      <c r="GS1" s="1" t="s">
        <v>424</v>
      </c>
      <c r="GT1" s="1" t="s">
        <v>152</v>
      </c>
      <c r="GU1" s="1" t="s">
        <v>153</v>
      </c>
      <c r="GV1" s="1" t="s">
        <v>154</v>
      </c>
      <c r="GW1" s="1" t="s">
        <v>155</v>
      </c>
      <c r="GX1" s="1" t="s">
        <v>156</v>
      </c>
      <c r="GY1" s="1" t="s">
        <v>157</v>
      </c>
      <c r="GZ1" s="1" t="s">
        <v>158</v>
      </c>
      <c r="HA1" s="1" t="s">
        <v>159</v>
      </c>
      <c r="HB1" s="1" t="s">
        <v>160</v>
      </c>
      <c r="HC1" s="1" t="s">
        <v>161</v>
      </c>
      <c r="HD1" s="1" t="s">
        <v>162</v>
      </c>
      <c r="HE1" s="1" t="s">
        <v>163</v>
      </c>
      <c r="HF1" s="1" t="s">
        <v>164</v>
      </c>
      <c r="HG1" s="1" t="s">
        <v>165</v>
      </c>
      <c r="HH1" s="1" t="s">
        <v>166</v>
      </c>
      <c r="HI1" s="1" t="s">
        <v>167</v>
      </c>
      <c r="HJ1" s="1" t="s">
        <v>168</v>
      </c>
      <c r="HK1" s="1" t="s">
        <v>169</v>
      </c>
      <c r="HL1" s="1" t="s">
        <v>419</v>
      </c>
      <c r="HM1" s="1" t="s">
        <v>420</v>
      </c>
      <c r="HN1" s="1" t="s">
        <v>432</v>
      </c>
      <c r="HO1" s="1" t="s">
        <v>170</v>
      </c>
      <c r="HP1" s="1" t="s">
        <v>171</v>
      </c>
      <c r="HQ1" s="1" t="s">
        <v>172</v>
      </c>
      <c r="HR1" s="1" t="s">
        <v>421</v>
      </c>
      <c r="HS1" s="1" t="s">
        <v>422</v>
      </c>
      <c r="HT1" s="1" t="s">
        <v>433</v>
      </c>
      <c r="HU1" s="1" t="s">
        <v>173</v>
      </c>
      <c r="HV1" s="1" t="s">
        <v>174</v>
      </c>
      <c r="HW1" s="1" t="s">
        <v>175</v>
      </c>
      <c r="HX1" s="1" t="s">
        <v>423</v>
      </c>
      <c r="HY1" s="1" t="s">
        <v>424</v>
      </c>
      <c r="HZ1" s="1" t="s">
        <v>434</v>
      </c>
      <c r="IA1" s="1" t="s">
        <v>176</v>
      </c>
      <c r="IB1" s="1" t="s">
        <v>177</v>
      </c>
      <c r="IC1" s="1" t="s">
        <v>178</v>
      </c>
      <c r="ID1" s="1" t="s">
        <v>179</v>
      </c>
      <c r="IE1" s="1" t="s">
        <v>180</v>
      </c>
      <c r="IF1" s="1" t="s">
        <v>181</v>
      </c>
      <c r="IG1" s="1" t="s">
        <v>182</v>
      </c>
      <c r="IH1" s="1" t="s">
        <v>183</v>
      </c>
      <c r="II1" s="1" t="s">
        <v>184</v>
      </c>
      <c r="IJ1" s="1" t="s">
        <v>185</v>
      </c>
      <c r="IK1" s="1" t="s">
        <v>186</v>
      </c>
      <c r="IL1" s="1" t="s">
        <v>187</v>
      </c>
      <c r="IM1" s="1" t="s">
        <v>419</v>
      </c>
      <c r="IN1" s="1" t="s">
        <v>420</v>
      </c>
      <c r="IO1" s="1" t="s">
        <v>188</v>
      </c>
      <c r="IP1" s="1" t="s">
        <v>189</v>
      </c>
      <c r="IQ1" s="1">
        <v>7.1</v>
      </c>
      <c r="IR1" s="1" t="s">
        <v>422</v>
      </c>
      <c r="IS1" s="1" t="s">
        <v>190</v>
      </c>
      <c r="IT1" s="1" t="s">
        <v>191</v>
      </c>
      <c r="IU1" s="1" t="s">
        <v>423</v>
      </c>
      <c r="IV1" s="1" t="s">
        <v>424</v>
      </c>
      <c r="IW1" s="1" t="s">
        <v>192</v>
      </c>
      <c r="IX1" s="1" t="s">
        <v>193</v>
      </c>
      <c r="IY1" s="1" t="s">
        <v>194</v>
      </c>
      <c r="IZ1" s="1" t="s">
        <v>195</v>
      </c>
      <c r="JA1" s="1" t="s">
        <v>196</v>
      </c>
      <c r="JB1" s="1" t="s">
        <v>197</v>
      </c>
      <c r="JC1" s="1" t="s">
        <v>198</v>
      </c>
      <c r="JD1" s="1" t="s">
        <v>199</v>
      </c>
      <c r="JE1" s="1" t="s">
        <v>200</v>
      </c>
      <c r="JF1" s="1" t="s">
        <v>201</v>
      </c>
      <c r="JG1" s="1" t="s">
        <v>202</v>
      </c>
      <c r="JH1" s="1" t="s">
        <v>203</v>
      </c>
      <c r="JI1" s="1" t="s">
        <v>204</v>
      </c>
      <c r="JJ1" s="1" t="s">
        <v>205</v>
      </c>
      <c r="JK1" s="1" t="s">
        <v>421</v>
      </c>
      <c r="JL1" s="1" t="s">
        <v>422</v>
      </c>
      <c r="JM1" s="1" t="s">
        <v>206</v>
      </c>
      <c r="JN1" s="1" t="s">
        <v>207</v>
      </c>
      <c r="JO1" s="1" t="s">
        <v>423</v>
      </c>
      <c r="JP1" s="1" t="s">
        <v>424</v>
      </c>
      <c r="JQ1" s="1" t="s">
        <v>208</v>
      </c>
      <c r="JR1" s="1" t="s">
        <v>209</v>
      </c>
      <c r="JS1" s="1" t="s">
        <v>210</v>
      </c>
      <c r="JT1" s="1" t="s">
        <v>211</v>
      </c>
      <c r="JU1" s="1" t="s">
        <v>212</v>
      </c>
      <c r="JV1" s="1" t="s">
        <v>213</v>
      </c>
      <c r="JW1" s="1" t="s">
        <v>214</v>
      </c>
      <c r="JX1" s="1" t="s">
        <v>215</v>
      </c>
      <c r="JY1" s="1" t="s">
        <v>81</v>
      </c>
      <c r="JZ1" s="1" t="s">
        <v>216</v>
      </c>
    </row>
    <row r="2" spans="1:292" ht="13.2" hidden="1" x14ac:dyDescent="0.25">
      <c r="A2" s="2" t="s">
        <v>217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3">
        <v>4</v>
      </c>
      <c r="AW2" s="3">
        <v>5</v>
      </c>
      <c r="AX2" s="2">
        <v>7</v>
      </c>
      <c r="AY2" s="3">
        <v>5</v>
      </c>
      <c r="AZ2" s="3">
        <v>6</v>
      </c>
      <c r="BA2" s="2">
        <v>7</v>
      </c>
      <c r="BB2" s="3">
        <v>3</v>
      </c>
      <c r="BC2" s="3">
        <v>6</v>
      </c>
      <c r="BD2" s="2">
        <v>7</v>
      </c>
      <c r="BE2" s="3">
        <v>3</v>
      </c>
      <c r="BF2" s="3">
        <v>3</v>
      </c>
      <c r="BG2" s="2">
        <v>1</v>
      </c>
      <c r="BH2" s="3">
        <v>3</v>
      </c>
      <c r="BI2" s="3">
        <v>5</v>
      </c>
      <c r="BJ2" s="2">
        <v>7</v>
      </c>
      <c r="BK2" s="2" t="s">
        <v>222</v>
      </c>
      <c r="BL2" s="2" t="s">
        <v>222</v>
      </c>
      <c r="BM2" s="2" t="s">
        <v>223</v>
      </c>
      <c r="BN2" s="1">
        <f>IF(BK2="Muy poca importancia",1,IF(BK2="Poca Importancia",2,IF(BK2="Ni Poca/ Ni Mucha",3,IF(BK2="Algo de importancia",4,IF(BK2="Mucha Importancia",5,0)))))</f>
        <v>3</v>
      </c>
      <c r="BO2" s="1">
        <f>IF(BL2="Muy poca importancia",1,IF(BL2="Poca Importancia",2,IF(BL2="Ni Poca/ Ni Mucha",3,IF(BL2="Algo de importancia",4,IF(BL2="Mucha Importancia",5,0)))))</f>
        <v>3</v>
      </c>
      <c r="BP2" s="1">
        <f>IF(BM2="Muy poca importancia",1,IF(BM2="Poca Importancia",2,IF(BM2="Ni Poca/ Ni Mucha",3,IF(BM2="Algo de importancia",4,IF(BM2="Mucha Importancia",5,0)))))</f>
        <v>5</v>
      </c>
      <c r="BQ2" s="2" t="s">
        <v>224</v>
      </c>
      <c r="BR2" s="2" t="s">
        <v>225</v>
      </c>
      <c r="BS2" s="2" t="s">
        <v>224</v>
      </c>
      <c r="BT2" s="1">
        <f>IF(BQ2="Muy poca importancia",1,IF(BQ2="Poca Importancia",2,IF(BQ2="Ni Poca/ Ni Mucha",3,IF(BQ2="Algo de importancia",4,IF(BQ2="Mucha Importancia",5,0)))))</f>
        <v>1</v>
      </c>
      <c r="BU2" s="1">
        <f>IF(BR2="Muy poca importancia",1,IF(BR2="Poca Importancia",2,IF(BR2="Ni Poca/ Ni Mucha",3,IF(BR2="Algo de importancia",4,IF(BR2="Mucha Importancia",5,0)))))</f>
        <v>2</v>
      </c>
      <c r="BV2" s="1">
        <f>IF(BS2="Muy poca importancia",1,IF(BS2="Poca Importancia",2,IF(BS2="Ni Poca/ Ni Mucha",3,IF(BS2="Algo de importancia",4,IF(BS2="Mucha Importancia",5,0)))))</f>
        <v>1</v>
      </c>
      <c r="BW2" s="2" t="s">
        <v>226</v>
      </c>
      <c r="BX2" s="2" t="s">
        <v>223</v>
      </c>
      <c r="BY2" s="2" t="s">
        <v>226</v>
      </c>
      <c r="BZ2" s="1">
        <f>IF(BW2="Muy poca importancia",1,IF(BW2="Poca Importancia",2,IF(BW2="Ni Poca/ Ni Mucha",3,IF(BW2="Algo de importancia",4,IF(BW2="Mucha Importancia",5,0)))))</f>
        <v>4</v>
      </c>
      <c r="CA2" s="1">
        <f>IF(BX2="Muy poca importancia",1,IF(BX2="Poca Importancia",2,IF(BX2="Ni Poca/ Ni Mucha",3,IF(BX2="Algo de importancia",4,IF(BX2="Mucha Importancia",5,0)))))</f>
        <v>5</v>
      </c>
      <c r="CB2" s="1">
        <f>IF(BY2="Muy poca importancia",1,IF(BY2="Poca Importancia",2,IF(BY2="Ni Poca/ Ni Mucha",3,IF(BY2="Algo de importancia",4,IF(BY2="Mucha Importancia",5,0)))))</f>
        <v>4</v>
      </c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</row>
    <row r="3" spans="1:292" ht="13.2" hidden="1" x14ac:dyDescent="0.25">
      <c r="A3" s="1" t="s">
        <v>217</v>
      </c>
      <c r="AV3" s="1">
        <v>3</v>
      </c>
      <c r="AW3" s="1">
        <v>6</v>
      </c>
      <c r="AX3" s="1">
        <v>7</v>
      </c>
      <c r="AY3" s="1">
        <v>4</v>
      </c>
      <c r="AZ3" s="1">
        <v>5</v>
      </c>
      <c r="BA3" s="1">
        <v>5</v>
      </c>
      <c r="BB3" s="1">
        <v>4</v>
      </c>
      <c r="BC3" s="1">
        <v>6</v>
      </c>
      <c r="BD3" s="1">
        <v>5</v>
      </c>
      <c r="BE3" s="1">
        <v>4</v>
      </c>
      <c r="BF3" s="1">
        <v>4</v>
      </c>
      <c r="BG3" s="1">
        <v>1</v>
      </c>
      <c r="BH3" s="1">
        <v>4</v>
      </c>
      <c r="BI3" s="1">
        <v>6</v>
      </c>
      <c r="BJ3" s="1">
        <v>6</v>
      </c>
      <c r="BK3" s="1" t="s">
        <v>223</v>
      </c>
      <c r="BL3" s="1" t="s">
        <v>225</v>
      </c>
      <c r="BM3" s="1" t="s">
        <v>225</v>
      </c>
      <c r="BN3" s="1">
        <f>IF(BK3="Muy poca importancia",1,IF(BK3="Poca Importancia",2,IF(BK3="Ni Poca/ Ni Mucha",3,IF(BK3="Algo de importancia",4,IF(BK3="Mucha Importancia",5,0)))))</f>
        <v>5</v>
      </c>
      <c r="BO3" s="1">
        <f t="shared" ref="BO3" si="0">IF(BL3="Muy poca importancia",1,IF(BL3="Poca Importancia",2,IF(BL3="Ni Poca/ Ni Mucha",3,IF(BL3="Algo de importancia",4,IF(BL3="Mucha Importancia",5,0)))))</f>
        <v>2</v>
      </c>
      <c r="BP3" s="1">
        <f>IF(BM3="Muy poca importancia",1,IF(BM3="Poca Importancia",2,IF(BM3="Ni Poca/ Ni Mucha",3,IF(BM3="Algo de importancia",4,IF(BM3="Mucha Importancia",5,0)))))</f>
        <v>2</v>
      </c>
      <c r="BQ3" s="1" t="s">
        <v>225</v>
      </c>
      <c r="BR3" s="1" t="s">
        <v>225</v>
      </c>
      <c r="BS3" s="1" t="s">
        <v>226</v>
      </c>
      <c r="BT3" s="1">
        <f>IF(BQ3="Muy poca importancia",1,IF(BQ3="Poca Importancia",2,IF(BQ3="Ni Poca/ Ni Mucha",3,IF(BQ3="Algo de importancia",4,IF(BQ3="Mucha Importancia",5,0)))))</f>
        <v>2</v>
      </c>
      <c r="BU3" s="1">
        <f t="shared" ref="BU3" si="1">IF(BR3="Muy poca importancia",1,IF(BR3="Poca Importancia",2,IF(BR3="Ni Poca/ Ni Mucha",3,IF(BR3="Algo de importancia",4,IF(BR3="Mucha Importancia",5,0)))))</f>
        <v>2</v>
      </c>
      <c r="BV3" s="1">
        <f t="shared" ref="BV3" si="2">IF(BS3="Muy poca importancia",1,IF(BS3="Poca Importancia",2,IF(BS3="Ni Poca/ Ni Mucha",3,IF(BS3="Algo de importancia",4,IF(BS3="Mucha Importancia",5,0)))))</f>
        <v>4</v>
      </c>
      <c r="BW3" s="1" t="s">
        <v>222</v>
      </c>
      <c r="BX3" s="1" t="s">
        <v>226</v>
      </c>
      <c r="BY3" s="1" t="s">
        <v>222</v>
      </c>
      <c r="BZ3" s="1">
        <f>IF(BW3="Muy poca importancia",1,IF(BW3="Poca Importancia",2,IF(BW3="Ni Poca/ Ni Mucha",3,IF(BW3="Algo de importancia",4,IF(BW3="Mucha Importancia",5,0)))))</f>
        <v>3</v>
      </c>
      <c r="CA3" s="1">
        <f t="shared" ref="CA3" si="3">IF(BX3="Muy poca importancia",1,IF(BX3="Poca Importancia",2,IF(BX3="Ni Poca/ Ni Mucha",3,IF(BX3="Algo de importancia",4,IF(BX3="Mucha Importancia",5,0)))))</f>
        <v>4</v>
      </c>
      <c r="CB3" s="1">
        <f t="shared" ref="CB3" si="4">IF(BY3="Muy poca importancia",1,IF(BY3="Poca Importancia",2,IF(BY3="Ni Poca/ Ni Mucha",3,IF(BY3="Algo de importancia",4,IF(BY3="Mucha Importancia",5,0)))))</f>
        <v>3</v>
      </c>
    </row>
    <row r="4" spans="1:292" ht="13.2" hidden="1" x14ac:dyDescent="0.25">
      <c r="A4" s="1" t="s">
        <v>227</v>
      </c>
      <c r="FM4" s="1">
        <v>3</v>
      </c>
      <c r="FN4" s="1">
        <v>2</v>
      </c>
      <c r="FO4" s="1">
        <v>3</v>
      </c>
      <c r="FP4" s="1">
        <v>1</v>
      </c>
      <c r="FQ4" s="1">
        <v>7</v>
      </c>
      <c r="FR4" s="1" t="s">
        <v>222</v>
      </c>
      <c r="FS4" s="1">
        <v>3</v>
      </c>
      <c r="FT4" s="1" t="s">
        <v>224</v>
      </c>
      <c r="FU4" s="1">
        <v>1</v>
      </c>
      <c r="FV4" s="1" t="s">
        <v>225</v>
      </c>
      <c r="FW4" s="1">
        <v>2</v>
      </c>
      <c r="JQ4" s="1">
        <v>6</v>
      </c>
      <c r="JR4" s="1" t="s">
        <v>219</v>
      </c>
      <c r="JS4" s="1">
        <v>6</v>
      </c>
      <c r="JT4" s="1" t="s">
        <v>228</v>
      </c>
      <c r="JU4" s="1">
        <v>2</v>
      </c>
      <c r="JV4" s="1" t="s">
        <v>222</v>
      </c>
      <c r="JW4" s="1" t="s">
        <v>223</v>
      </c>
      <c r="JX4" s="1" t="s">
        <v>223</v>
      </c>
      <c r="JY4" s="1"/>
      <c r="JZ4" s="1"/>
    </row>
    <row r="5" spans="1:292" ht="13.2" hidden="1" x14ac:dyDescent="0.25">
      <c r="A5" s="1" t="s">
        <v>229</v>
      </c>
      <c r="CC5" s="1">
        <v>4</v>
      </c>
      <c r="CD5" s="1">
        <v>6</v>
      </c>
      <c r="CE5" s="1">
        <v>5</v>
      </c>
      <c r="CF5" s="1">
        <v>7</v>
      </c>
      <c r="CG5" s="1">
        <v>4</v>
      </c>
      <c r="CH5" s="1">
        <v>6</v>
      </c>
      <c r="CI5" s="1">
        <v>4</v>
      </c>
      <c r="CJ5" s="1">
        <v>4</v>
      </c>
      <c r="CK5" s="1">
        <v>4</v>
      </c>
      <c r="CL5" s="1">
        <v>5</v>
      </c>
      <c r="CM5" s="1" t="s">
        <v>226</v>
      </c>
      <c r="CN5" s="1" t="s">
        <v>226</v>
      </c>
      <c r="CO5" s="1">
        <f>IF(CM5="Muy poca importancia",1,IF(CM5="Poca Importancia",2,IF(CM5="Ni Poca/ Ni Mucha",3,IF(CM5="Algo de importancia",4,IF(CM5="Mucha Importancia",5,0)))))</f>
        <v>4</v>
      </c>
      <c r="CP5" s="1">
        <f>IF(CN5="Muy poca importancia",1,IF(CN5="Poca Importancia",2,IF(CN5="Ni Poca/ Ni Mucha",3,IF(CN5="Algo de importancia",4,IF(CN5="Mucha Importancia",5,0)))))</f>
        <v>4</v>
      </c>
      <c r="CQ5" s="1" t="s">
        <v>223</v>
      </c>
      <c r="CR5" s="1" t="s">
        <v>223</v>
      </c>
      <c r="CS5" s="1">
        <f>IF(CQ5="Muy poca importancia",1,IF(CQ5="Poca Importancia",2,IF(CQ5="Ni Poca/ Ni Mucha",3,IF(CQ5="Algo de importancia",4,IF(CQ5="Mucha Importancia",5,0)))))</f>
        <v>5</v>
      </c>
      <c r="CT5" s="1">
        <f>IF(CR5="Muy poca importancia",1,IF(CR5="Poca Importancia",2,IF(CR5="Ni Poca/ Ni Mucha",3,IF(CR5="Algo de importancia",4,IF(CR5="Mucha Importancia",5,0)))))</f>
        <v>5</v>
      </c>
      <c r="CU5" s="1" t="s">
        <v>223</v>
      </c>
      <c r="CV5" s="1" t="s">
        <v>223</v>
      </c>
      <c r="CW5" s="1">
        <f>IF(CU5="Muy poca importancia",1,IF(CU5="Poca Importancia",2,IF(CU5="Ni Poca/ Ni Mucha",3,IF(CU5="Algo de importancia",4,IF(CU5="Mucha Importancia",5,0)))))</f>
        <v>5</v>
      </c>
      <c r="CX5" s="1">
        <f>IF(CV5="Muy poca importancia",1,IF(CV5="Poca Importancia",2,IF(CV5="Ni Poca/ Ni Mucha",3,IF(CV5="Algo de importancia",4,IF(CV5="Mucha Importancia",5,0)))))</f>
        <v>5</v>
      </c>
    </row>
    <row r="6" spans="1:292" ht="13.2" hidden="1" x14ac:dyDescent="0.25">
      <c r="A6" s="1" t="s">
        <v>230</v>
      </c>
      <c r="FX6" s="1">
        <v>7</v>
      </c>
      <c r="FY6" s="1">
        <v>7</v>
      </c>
      <c r="FZ6" s="1">
        <v>5</v>
      </c>
      <c r="GA6" s="1">
        <v>5</v>
      </c>
      <c r="GB6" s="1">
        <v>5</v>
      </c>
      <c r="GC6" s="1">
        <v>5</v>
      </c>
      <c r="GD6" s="1">
        <v>6</v>
      </c>
      <c r="GE6" s="1">
        <v>6</v>
      </c>
      <c r="GF6" s="1">
        <v>7</v>
      </c>
      <c r="GG6" s="1">
        <v>7</v>
      </c>
      <c r="GH6" s="1" t="s">
        <v>226</v>
      </c>
      <c r="GI6" s="1" t="s">
        <v>223</v>
      </c>
      <c r="GJ6" s="1">
        <v>4</v>
      </c>
      <c r="GK6" s="1">
        <v>5</v>
      </c>
      <c r="GL6" s="1" t="s">
        <v>226</v>
      </c>
      <c r="GM6" s="1" t="s">
        <v>226</v>
      </c>
      <c r="GN6" s="1">
        <v>4</v>
      </c>
      <c r="GO6" s="1">
        <v>4</v>
      </c>
      <c r="GP6" s="1" t="s">
        <v>223</v>
      </c>
      <c r="GQ6" s="1" t="s">
        <v>231</v>
      </c>
      <c r="GR6" s="1">
        <v>5</v>
      </c>
      <c r="GS6" s="1"/>
    </row>
    <row r="7" spans="1:292" ht="13.2" hidden="1" x14ac:dyDescent="0.25">
      <c r="A7" s="1" t="s">
        <v>227</v>
      </c>
      <c r="FM7" s="1">
        <v>3</v>
      </c>
      <c r="FN7" s="1">
        <v>5</v>
      </c>
      <c r="FO7" s="1">
        <v>4</v>
      </c>
      <c r="FP7" s="1">
        <v>2</v>
      </c>
      <c r="FQ7" s="1">
        <v>6</v>
      </c>
      <c r="FR7" s="1" t="s">
        <v>226</v>
      </c>
      <c r="FS7" s="1">
        <v>4</v>
      </c>
      <c r="FT7" s="1" t="s">
        <v>224</v>
      </c>
      <c r="FU7" s="1">
        <v>1</v>
      </c>
      <c r="FV7" s="1" t="s">
        <v>225</v>
      </c>
      <c r="FW7" s="1">
        <v>2</v>
      </c>
      <c r="JQ7" s="1">
        <v>5</v>
      </c>
      <c r="JR7" s="1" t="s">
        <v>219</v>
      </c>
      <c r="JS7" s="1">
        <v>6</v>
      </c>
      <c r="JT7" s="1">
        <v>6</v>
      </c>
      <c r="JU7" s="1">
        <v>6</v>
      </c>
      <c r="JV7" s="1" t="s">
        <v>226</v>
      </c>
      <c r="JW7" s="1" t="s">
        <v>223</v>
      </c>
      <c r="JX7" s="1" t="s">
        <v>223</v>
      </c>
      <c r="JY7" s="1"/>
      <c r="JZ7" s="1"/>
    </row>
    <row r="8" spans="1:292" ht="13.2" x14ac:dyDescent="0.25">
      <c r="A8" s="1" t="s">
        <v>232</v>
      </c>
      <c r="IA8" s="1">
        <v>3</v>
      </c>
      <c r="IB8" s="1">
        <v>6</v>
      </c>
      <c r="IC8" s="1">
        <v>5</v>
      </c>
      <c r="ID8" s="1">
        <v>7</v>
      </c>
      <c r="IE8" s="1">
        <v>4</v>
      </c>
      <c r="IF8" s="1">
        <v>7</v>
      </c>
      <c r="IG8" s="1">
        <v>4</v>
      </c>
      <c r="IH8" s="1">
        <v>2</v>
      </c>
      <c r="II8" s="1">
        <v>3</v>
      </c>
      <c r="IJ8" s="1">
        <v>7</v>
      </c>
      <c r="IK8" s="1" t="s">
        <v>226</v>
      </c>
      <c r="IL8" s="1" t="s">
        <v>226</v>
      </c>
      <c r="IM8" s="1">
        <v>4</v>
      </c>
      <c r="IN8" s="1">
        <v>4</v>
      </c>
      <c r="IO8" s="1" t="s">
        <v>223</v>
      </c>
      <c r="IP8" s="1" t="s">
        <v>223</v>
      </c>
      <c r="IQ8" s="1">
        <v>5</v>
      </c>
      <c r="IR8" s="1">
        <v>5</v>
      </c>
      <c r="IS8" s="1" t="s">
        <v>223</v>
      </c>
      <c r="IT8" s="1" t="s">
        <v>223</v>
      </c>
      <c r="IU8" s="1">
        <v>5</v>
      </c>
      <c r="IV8" s="1">
        <v>5</v>
      </c>
    </row>
    <row r="9" spans="1:292" ht="13.2" x14ac:dyDescent="0.25">
      <c r="A9" s="1" t="s">
        <v>232</v>
      </c>
      <c r="IA9" s="1">
        <v>3</v>
      </c>
      <c r="IB9" s="1">
        <v>6</v>
      </c>
      <c r="IC9" s="1">
        <v>5</v>
      </c>
      <c r="ID9" s="1">
        <v>6</v>
      </c>
      <c r="IE9" s="1">
        <v>3</v>
      </c>
      <c r="IF9" s="1">
        <v>7</v>
      </c>
      <c r="IG9" s="1">
        <v>4</v>
      </c>
      <c r="IH9" s="1">
        <v>2</v>
      </c>
      <c r="II9" s="1">
        <v>2</v>
      </c>
      <c r="IJ9" s="1">
        <v>6</v>
      </c>
      <c r="IK9" s="1" t="s">
        <v>226</v>
      </c>
      <c r="IL9" s="1" t="s">
        <v>226</v>
      </c>
      <c r="IM9" s="1">
        <v>4</v>
      </c>
      <c r="IN9" s="1">
        <v>4</v>
      </c>
      <c r="IO9" s="1" t="s">
        <v>223</v>
      </c>
      <c r="IP9" s="1" t="s">
        <v>223</v>
      </c>
      <c r="IQ9" s="1">
        <v>5</v>
      </c>
      <c r="IR9" s="1">
        <v>5</v>
      </c>
      <c r="IS9" s="1" t="s">
        <v>223</v>
      </c>
      <c r="IT9" s="1" t="s">
        <v>223</v>
      </c>
      <c r="IU9" s="1">
        <v>5</v>
      </c>
      <c r="IV9" s="1">
        <v>5</v>
      </c>
    </row>
    <row r="10" spans="1:292" ht="13.2" hidden="1" x14ac:dyDescent="0.25">
      <c r="A10" s="1" t="s">
        <v>233</v>
      </c>
      <c r="IW10" s="1">
        <v>5</v>
      </c>
      <c r="IX10" s="1">
        <v>6</v>
      </c>
      <c r="IY10" s="1">
        <v>2</v>
      </c>
      <c r="IZ10" s="1">
        <v>3</v>
      </c>
      <c r="JA10" s="1">
        <v>4</v>
      </c>
      <c r="JB10" s="1">
        <v>4</v>
      </c>
      <c r="JC10" s="1">
        <v>3</v>
      </c>
      <c r="JD10" s="1">
        <v>4</v>
      </c>
      <c r="JE10" s="1">
        <v>1</v>
      </c>
      <c r="JF10" s="1">
        <v>2</v>
      </c>
      <c r="JG10" s="1" t="s">
        <v>222</v>
      </c>
      <c r="JH10" s="1" t="s">
        <v>222</v>
      </c>
      <c r="JI10" s="1" t="s">
        <v>223</v>
      </c>
      <c r="JJ10" s="1" t="s">
        <v>223</v>
      </c>
      <c r="JK10" s="1">
        <v>5</v>
      </c>
      <c r="JL10" s="1">
        <v>5</v>
      </c>
      <c r="JM10" s="1" t="s">
        <v>222</v>
      </c>
      <c r="JN10" s="1" t="s">
        <v>226</v>
      </c>
      <c r="JO10" s="1">
        <v>3</v>
      </c>
      <c r="JP10" s="1">
        <v>4</v>
      </c>
    </row>
    <row r="11" spans="1:292" ht="13.2" hidden="1" x14ac:dyDescent="0.25">
      <c r="A11" s="1" t="s">
        <v>235</v>
      </c>
      <c r="B11" s="1">
        <v>6</v>
      </c>
      <c r="C11" s="1">
        <v>2</v>
      </c>
      <c r="D11" s="1">
        <v>7</v>
      </c>
      <c r="E11" s="1">
        <v>1</v>
      </c>
      <c r="F11" s="1">
        <v>5</v>
      </c>
      <c r="G11" s="1">
        <v>3</v>
      </c>
      <c r="H11" s="1">
        <v>6</v>
      </c>
      <c r="I11" s="1">
        <v>2</v>
      </c>
      <c r="J11" s="1">
        <v>6</v>
      </c>
      <c r="K11" s="1">
        <v>4</v>
      </c>
      <c r="L11" s="1" t="s">
        <v>226</v>
      </c>
      <c r="M11" s="1" t="s">
        <v>226</v>
      </c>
      <c r="N11" s="1">
        <f>IF(L11="Muy poca importancia",1,IF(L11="Poca Importancia",2,IF(L11="Ni Poca/ Ni Mucha",3,IF(L11="Algo de importancia",4,IF(L11="Mucha Importancia",5,0)))))</f>
        <v>4</v>
      </c>
      <c r="O11" s="1">
        <f>IF(M11="Muy poca importancia",1,IF(M11="Poca Importancia",2,IF(M11="Ni Poca/ Ni Mucha",3,IF(M11="Algo de importancia",4,IF(M11="Mucha Importancia",5,0)))))</f>
        <v>4</v>
      </c>
      <c r="P11" s="1" t="s">
        <v>223</v>
      </c>
      <c r="Q11" s="1" t="s">
        <v>224</v>
      </c>
      <c r="R11" s="1">
        <f>IF(P11="Muy poca importancia",1,IF(P11="Poca Importancia",2,IF(P11="Ni Poca/ Ni Mucha",3,IF(P11="Algo de importancia",4,IF(P11="Mucha Importancia",5,0)))))</f>
        <v>5</v>
      </c>
      <c r="S11" s="1">
        <f>IF(Q11="Muy poca importancia",1,IF(Q11="Poca Importancia",2,IF(Q11="Ni Poca/ Ni Mucha",3,IF(Q11="Algo de importancia",4,IF(Q11="Mucha Importancia",5,0)))))</f>
        <v>1</v>
      </c>
      <c r="T11" s="1" t="s">
        <v>223</v>
      </c>
      <c r="U11" s="1" t="s">
        <v>225</v>
      </c>
      <c r="V11" s="1">
        <f>IF(T11="Muy poca importancia",1,IF(T11="Poca Importancia",2,IF(T11="Ni Poca/ Ni Mucha",3,IF(T11="Algo de importancia",4,IF(T11="Mucha Importancia",5,0)))))</f>
        <v>5</v>
      </c>
      <c r="W11" s="1">
        <f>IF(U11="Muy poca importancia",1,IF(U11="Poca Importancia",2,IF(U11="Ni Poca/ Ni Mucha",3,IF(U11="Algo de importancia",4,IF(U11="Mucha Importancia",5,0)))))</f>
        <v>2</v>
      </c>
    </row>
    <row r="12" spans="1:292" ht="13.2" hidden="1" x14ac:dyDescent="0.25">
      <c r="A12" s="1" t="s">
        <v>227</v>
      </c>
      <c r="FM12" s="1">
        <v>4</v>
      </c>
      <c r="FN12" s="1">
        <v>2</v>
      </c>
      <c r="FO12" s="1">
        <v>3</v>
      </c>
      <c r="FP12" s="1">
        <v>2</v>
      </c>
      <c r="FQ12" s="1">
        <v>3</v>
      </c>
      <c r="FR12" s="1" t="s">
        <v>223</v>
      </c>
      <c r="FS12" s="1">
        <v>5</v>
      </c>
      <c r="FT12" s="1" t="s">
        <v>224</v>
      </c>
      <c r="FU12" s="1">
        <v>1</v>
      </c>
      <c r="FV12" s="1" t="s">
        <v>222</v>
      </c>
      <c r="FW12" s="1">
        <v>3</v>
      </c>
      <c r="JQ12" s="1">
        <v>6</v>
      </c>
      <c r="JR12" s="1" t="s">
        <v>219</v>
      </c>
      <c r="JS12" s="1" t="s">
        <v>220</v>
      </c>
      <c r="JT12" s="1" t="s">
        <v>228</v>
      </c>
      <c r="JU12" s="1">
        <v>6</v>
      </c>
      <c r="JV12" s="1" t="s">
        <v>223</v>
      </c>
      <c r="JW12" s="1" t="s">
        <v>223</v>
      </c>
      <c r="JX12" s="1" t="s">
        <v>223</v>
      </c>
      <c r="JY12" s="1"/>
      <c r="JZ12" s="1"/>
    </row>
    <row r="13" spans="1:292" ht="13.2" hidden="1" x14ac:dyDescent="0.25">
      <c r="A13" s="1" t="s">
        <v>235</v>
      </c>
      <c r="B13" s="1">
        <v>6</v>
      </c>
      <c r="C13" s="1" t="s">
        <v>236</v>
      </c>
      <c r="D13" s="1">
        <v>6</v>
      </c>
      <c r="E13" s="1">
        <v>2</v>
      </c>
      <c r="F13" s="1">
        <v>6</v>
      </c>
      <c r="G13" s="1">
        <v>4</v>
      </c>
      <c r="H13" s="1">
        <v>7</v>
      </c>
      <c r="I13" s="1">
        <v>3</v>
      </c>
      <c r="J13" s="1">
        <v>6</v>
      </c>
      <c r="K13" s="1">
        <v>4</v>
      </c>
      <c r="L13" s="1" t="s">
        <v>222</v>
      </c>
      <c r="M13" s="1" t="s">
        <v>224</v>
      </c>
      <c r="N13" s="1">
        <f>IF(L13="Muy poca importancia",1,IF(L13="Poca Importancia",2,IF(L13="Ni Poca/ Ni Mucha",3,IF(L13="Algo de importancia",4,IF(L13="Mucha Importancia",5,0)))))</f>
        <v>3</v>
      </c>
      <c r="O13" s="1">
        <f>IF(M13="Muy poca importancia",1,IF(M13="Poca Importancia",2,IF(M13="Ni Poca/ Ni Mucha",3,IF(M13="Algo de importancia",4,IF(M13="Mucha Importancia",5,0)))))</f>
        <v>1</v>
      </c>
      <c r="P13" s="1" t="s">
        <v>223</v>
      </c>
      <c r="Q13" s="1" t="s">
        <v>224</v>
      </c>
      <c r="R13" s="1">
        <f>IF(P13="Muy poca importancia",1,IF(P13="Poca Importancia",2,IF(P13="Ni Poca/ Ni Mucha",3,IF(P13="Algo de importancia",4,IF(P13="Mucha Importancia",5,0)))))</f>
        <v>5</v>
      </c>
      <c r="S13" s="1">
        <f>IF(Q13="Muy poca importancia",1,IF(Q13="Poca Importancia",2,IF(Q13="Ni Poca/ Ni Mucha",3,IF(Q13="Algo de importancia",4,IF(Q13="Mucha Importancia",5,0)))))</f>
        <v>1</v>
      </c>
      <c r="T13" s="1" t="s">
        <v>223</v>
      </c>
      <c r="U13" s="1" t="s">
        <v>224</v>
      </c>
      <c r="V13" s="1">
        <f>IF(T13="Muy poca importancia",1,IF(T13="Poca Importancia",2,IF(T13="Ni Poca/ Ni Mucha",3,IF(T13="Algo de importancia",4,IF(T13="Mucha Importancia",5,0)))))</f>
        <v>5</v>
      </c>
      <c r="W13" s="1">
        <f>IF(U13="Muy poca importancia",1,IF(U13="Poca Importancia",2,IF(U13="Ni Poca/ Ni Mucha",3,IF(U13="Algo de importancia",4,IF(U13="Mucha Importancia",5,0)))))</f>
        <v>1</v>
      </c>
    </row>
    <row r="14" spans="1:292" ht="13.2" hidden="1" x14ac:dyDescent="0.25">
      <c r="A14" s="1" t="s">
        <v>217</v>
      </c>
      <c r="AV14" s="1">
        <v>2</v>
      </c>
      <c r="AW14" s="1">
        <v>6</v>
      </c>
      <c r="AX14" s="1">
        <v>7</v>
      </c>
      <c r="AY14" s="1">
        <v>3</v>
      </c>
      <c r="AZ14" s="1">
        <v>5</v>
      </c>
      <c r="BA14" s="1">
        <v>5</v>
      </c>
      <c r="BB14" s="1">
        <v>3</v>
      </c>
      <c r="BC14" s="1">
        <v>5</v>
      </c>
      <c r="BD14" s="1">
        <v>7</v>
      </c>
      <c r="BE14" s="1">
        <v>3</v>
      </c>
      <c r="BF14" s="1">
        <v>4</v>
      </c>
      <c r="BG14" s="1">
        <v>1</v>
      </c>
      <c r="BH14" s="1">
        <v>3</v>
      </c>
      <c r="BI14" s="1">
        <v>5</v>
      </c>
      <c r="BJ14" s="1">
        <v>7</v>
      </c>
      <c r="BK14" s="1" t="s">
        <v>226</v>
      </c>
      <c r="BL14" s="1" t="s">
        <v>226</v>
      </c>
      <c r="BM14" s="1" t="s">
        <v>226</v>
      </c>
      <c r="BN14" s="1">
        <f>IF(BK14="Muy poca importancia",1,IF(BK14="Poca Importancia",2,IF(BK14="Ni Poca/ Ni Mucha",3,IF(BK14="Algo de importancia",4,IF(BK14="Mucha Importancia",5,0)))))</f>
        <v>4</v>
      </c>
      <c r="BO14" s="1">
        <f t="shared" ref="BO14:BP14" si="5">IF(BL14="Muy poca importancia",1,IF(BL14="Poca Importancia",2,IF(BL14="Ni Poca/ Ni Mucha",3,IF(BL14="Algo de importancia",4,IF(BL14="Mucha Importancia",5,0)))))</f>
        <v>4</v>
      </c>
      <c r="BP14" s="1">
        <f t="shared" si="5"/>
        <v>4</v>
      </c>
      <c r="BQ14" s="1" t="s">
        <v>226</v>
      </c>
      <c r="BR14" s="1" t="s">
        <v>226</v>
      </c>
      <c r="BS14" s="1" t="s">
        <v>225</v>
      </c>
      <c r="BT14" s="1">
        <f>IF(BQ14="Muy poca importancia",1,IF(BQ14="Poca Importancia",2,IF(BQ14="Ni Poca/ Ni Mucha",3,IF(BQ14="Algo de importancia",4,IF(BQ14="Mucha Importancia",5,0)))))</f>
        <v>4</v>
      </c>
      <c r="BU14" s="1">
        <f t="shared" ref="BU14" si="6">IF(BR14="Muy poca importancia",1,IF(BR14="Poca Importancia",2,IF(BR14="Ni Poca/ Ni Mucha",3,IF(BR14="Algo de importancia",4,IF(BR14="Mucha Importancia",5,0)))))</f>
        <v>4</v>
      </c>
      <c r="BV14" s="1">
        <f t="shared" ref="BV14" si="7">IF(BS14="Muy poca importancia",1,IF(BS14="Poca Importancia",2,IF(BS14="Ni Poca/ Ni Mucha",3,IF(BS14="Algo de importancia",4,IF(BS14="Mucha Importancia",5,0)))))</f>
        <v>2</v>
      </c>
      <c r="BW14" s="1" t="s">
        <v>226</v>
      </c>
      <c r="BX14" s="1" t="s">
        <v>226</v>
      </c>
      <c r="BY14" s="1" t="s">
        <v>226</v>
      </c>
      <c r="BZ14" s="1">
        <f>IF(BW14="Muy poca importancia",1,IF(BW14="Poca Importancia",2,IF(BW14="Ni Poca/ Ni Mucha",3,IF(BW14="Algo de importancia",4,IF(BW14="Mucha Importancia",5,0)))))</f>
        <v>4</v>
      </c>
      <c r="CA14" s="1">
        <f t="shared" ref="CA14" si="8">IF(BX14="Muy poca importancia",1,IF(BX14="Poca Importancia",2,IF(BX14="Ni Poca/ Ni Mucha",3,IF(BX14="Algo de importancia",4,IF(BX14="Mucha Importancia",5,0)))))</f>
        <v>4</v>
      </c>
      <c r="CB14" s="1">
        <f t="shared" ref="CB14" si="9">IF(BY14="Muy poca importancia",1,IF(BY14="Poca Importancia",2,IF(BY14="Ni Poca/ Ni Mucha",3,IF(BY14="Algo de importancia",4,IF(BY14="Mucha Importancia",5,0)))))</f>
        <v>4</v>
      </c>
    </row>
    <row r="15" spans="1:292" ht="13.2" hidden="1" x14ac:dyDescent="0.25">
      <c r="A15" s="1" t="s">
        <v>229</v>
      </c>
      <c r="CC15" s="1">
        <v>2</v>
      </c>
      <c r="CD15" s="1">
        <v>5</v>
      </c>
      <c r="CE15" s="1">
        <v>5</v>
      </c>
      <c r="CF15" s="1">
        <v>6</v>
      </c>
      <c r="CG15" s="1">
        <v>4</v>
      </c>
      <c r="CH15" s="1">
        <v>6</v>
      </c>
      <c r="CI15" s="1">
        <v>4</v>
      </c>
      <c r="CJ15" s="1">
        <v>5</v>
      </c>
      <c r="CK15" s="1">
        <v>5</v>
      </c>
      <c r="CL15" s="1">
        <v>6</v>
      </c>
      <c r="CM15" s="1" t="s">
        <v>226</v>
      </c>
      <c r="CN15" s="1" t="s">
        <v>223</v>
      </c>
      <c r="CO15" s="1">
        <f>IF(CM15="Muy poca importancia",1,IF(CM15="Poca Importancia",2,IF(CM15="Ni Poca/ Ni Mucha",3,IF(CM15="Algo de importancia",4,IF(CM15="Mucha Importancia",5,0)))))</f>
        <v>4</v>
      </c>
      <c r="CP15" s="1">
        <f>IF(CN15="Muy poca importancia",1,IF(CN15="Poca Importancia",2,IF(CN15="Ni Poca/ Ni Mucha",3,IF(CN15="Algo de importancia",4,IF(CN15="Mucha Importancia",5,0)))))</f>
        <v>5</v>
      </c>
      <c r="CQ15" s="1" t="s">
        <v>223</v>
      </c>
      <c r="CR15" s="1" t="s">
        <v>226</v>
      </c>
      <c r="CS15" s="1">
        <f>IF(CQ15="Muy poca importancia",1,IF(CQ15="Poca Importancia",2,IF(CQ15="Ni Poca/ Ni Mucha",3,IF(CQ15="Algo de importancia",4,IF(CQ15="Mucha Importancia",5,0)))))</f>
        <v>5</v>
      </c>
      <c r="CT15" s="1">
        <f>IF(CR15="Muy poca importancia",1,IF(CR15="Poca Importancia",2,IF(CR15="Ni Poca/ Ni Mucha",3,IF(CR15="Algo de importancia",4,IF(CR15="Mucha Importancia",5,0)))))</f>
        <v>4</v>
      </c>
      <c r="CU15" s="1" t="s">
        <v>226</v>
      </c>
      <c r="CV15" s="1" t="s">
        <v>223</v>
      </c>
      <c r="CW15" s="1">
        <f>IF(CU15="Muy poca importancia",1,IF(CU15="Poca Importancia",2,IF(CU15="Ni Poca/ Ni Mucha",3,IF(CU15="Algo de importancia",4,IF(CU15="Mucha Importancia",5,0)))))</f>
        <v>4</v>
      </c>
      <c r="CX15" s="1">
        <f>IF(CV15="Muy poca importancia",1,IF(CV15="Poca Importancia",2,IF(CV15="Ni Poca/ Ni Mucha",3,IF(CV15="Algo de importancia",4,IF(CV15="Mucha Importancia",5,0)))))</f>
        <v>5</v>
      </c>
    </row>
    <row r="16" spans="1:292" ht="13.2" hidden="1" x14ac:dyDescent="0.25">
      <c r="A16" s="1" t="s">
        <v>235</v>
      </c>
      <c r="B16" s="1">
        <v>7</v>
      </c>
      <c r="C16" s="1">
        <v>4</v>
      </c>
      <c r="D16" s="1">
        <v>6</v>
      </c>
      <c r="E16" s="1">
        <v>4</v>
      </c>
      <c r="F16" s="1">
        <v>6</v>
      </c>
      <c r="G16" s="1">
        <v>3</v>
      </c>
      <c r="H16" s="1">
        <v>2</v>
      </c>
      <c r="I16" s="1">
        <v>4</v>
      </c>
      <c r="J16" s="1">
        <v>6</v>
      </c>
      <c r="K16" s="1">
        <v>4</v>
      </c>
      <c r="L16" s="1" t="s">
        <v>224</v>
      </c>
      <c r="M16" s="1" t="s">
        <v>226</v>
      </c>
      <c r="N16" s="1">
        <f>IF(L16="Muy poca importancia",1,IF(L16="Poca Importancia",2,IF(L16="Ni Poca/ Ni Mucha",3,IF(L16="Algo de importancia",4,IF(L16="Mucha Importancia",5,0)))))</f>
        <v>1</v>
      </c>
      <c r="O16" s="1">
        <f>IF(M16="Muy poca importancia",1,IF(M16="Poca Importancia",2,IF(M16="Ni Poca/ Ni Mucha",3,IF(M16="Algo de importancia",4,IF(M16="Mucha Importancia",5,0)))))</f>
        <v>4</v>
      </c>
      <c r="P16" s="1" t="s">
        <v>223</v>
      </c>
      <c r="Q16" s="1" t="s">
        <v>223</v>
      </c>
      <c r="R16" s="1">
        <f>IF(P16="Muy poca importancia",1,IF(P16="Poca Importancia",2,IF(P16="Ni Poca/ Ni Mucha",3,IF(P16="Algo de importancia",4,IF(P16="Mucha Importancia",5,0)))))</f>
        <v>5</v>
      </c>
      <c r="S16" s="1">
        <f>IF(Q16="Muy poca importancia",1,IF(Q16="Poca Importancia",2,IF(Q16="Ni Poca/ Ni Mucha",3,IF(Q16="Algo de importancia",4,IF(Q16="Mucha Importancia",5,0)))))</f>
        <v>5</v>
      </c>
      <c r="T16" s="1" t="s">
        <v>223</v>
      </c>
      <c r="U16" s="1" t="s">
        <v>223</v>
      </c>
      <c r="V16" s="1">
        <f>IF(T16="Muy poca importancia",1,IF(T16="Poca Importancia",2,IF(T16="Ni Poca/ Ni Mucha",3,IF(T16="Algo de importancia",4,IF(T16="Mucha Importancia",5,0)))))</f>
        <v>5</v>
      </c>
      <c r="W16" s="1">
        <f>IF(U16="Muy poca importancia",1,IF(U16="Poca Importancia",2,IF(U16="Ni Poca/ Ni Mucha",3,IF(U16="Algo de importancia",4,IF(U16="Mucha Importancia",5,0)))))</f>
        <v>5</v>
      </c>
    </row>
    <row r="17" spans="1:286" ht="13.2" hidden="1" x14ac:dyDescent="0.25">
      <c r="A17" s="1" t="s">
        <v>237</v>
      </c>
      <c r="GT17" s="1">
        <v>7</v>
      </c>
      <c r="GU17" s="1">
        <v>4</v>
      </c>
      <c r="GV17" s="1">
        <v>4</v>
      </c>
      <c r="GW17" s="1">
        <v>5</v>
      </c>
      <c r="GX17" s="1">
        <v>5</v>
      </c>
      <c r="GY17" s="1">
        <v>5</v>
      </c>
      <c r="GZ17" s="1">
        <v>6</v>
      </c>
      <c r="HA17" s="1">
        <v>4</v>
      </c>
      <c r="HB17" s="1">
        <v>4</v>
      </c>
      <c r="HC17" s="1">
        <v>4</v>
      </c>
      <c r="HD17" s="1">
        <v>4</v>
      </c>
      <c r="HE17" s="1">
        <v>4</v>
      </c>
      <c r="HF17" s="1">
        <v>4</v>
      </c>
      <c r="HG17" s="1">
        <v>4</v>
      </c>
      <c r="HH17" s="1">
        <v>4</v>
      </c>
      <c r="HI17" s="1" t="s">
        <v>222</v>
      </c>
      <c r="HJ17" s="1" t="s">
        <v>226</v>
      </c>
      <c r="HK17" s="1" t="s">
        <v>222</v>
      </c>
      <c r="HL17" s="1">
        <v>3</v>
      </c>
      <c r="HM17" s="1">
        <v>4</v>
      </c>
      <c r="HN17" s="1">
        <v>3</v>
      </c>
      <c r="HO17" s="1" t="s">
        <v>226</v>
      </c>
      <c r="HP17" s="1" t="s">
        <v>222</v>
      </c>
      <c r="HQ17" s="1" t="s">
        <v>222</v>
      </c>
      <c r="HR17" s="1">
        <v>4</v>
      </c>
      <c r="HS17" s="1">
        <v>3</v>
      </c>
      <c r="HT17" s="1">
        <v>3</v>
      </c>
      <c r="HU17" s="1" t="s">
        <v>226</v>
      </c>
      <c r="HV17" s="1" t="s">
        <v>222</v>
      </c>
      <c r="HW17" s="1" t="s">
        <v>222</v>
      </c>
      <c r="HX17" s="1">
        <v>4</v>
      </c>
      <c r="HY17" s="1">
        <v>3</v>
      </c>
      <c r="HZ17" s="1">
        <v>3</v>
      </c>
    </row>
    <row r="18" spans="1:286" ht="13.2" hidden="1" x14ac:dyDescent="0.25">
      <c r="A18" s="1" t="s">
        <v>238</v>
      </c>
      <c r="X18" s="1">
        <v>4</v>
      </c>
      <c r="Y18" s="1" t="s">
        <v>218</v>
      </c>
      <c r="Z18" s="1">
        <v>5</v>
      </c>
      <c r="AA18" s="1">
        <v>4</v>
      </c>
      <c r="AB18" s="1" t="s">
        <v>219</v>
      </c>
      <c r="AC18" s="1">
        <v>4</v>
      </c>
      <c r="AD18" s="1">
        <v>3</v>
      </c>
      <c r="AE18" s="1" t="s">
        <v>220</v>
      </c>
      <c r="AF18" s="1">
        <v>4</v>
      </c>
      <c r="AG18" s="1">
        <v>5</v>
      </c>
      <c r="AH18" s="1">
        <v>2</v>
      </c>
      <c r="AI18" s="1">
        <v>5</v>
      </c>
      <c r="AJ18" s="1" t="s">
        <v>234</v>
      </c>
      <c r="AK18" s="1" t="s">
        <v>221</v>
      </c>
      <c r="AL18" s="1">
        <v>2</v>
      </c>
      <c r="AM18" s="1" t="s">
        <v>226</v>
      </c>
      <c r="AN18" s="1" t="s">
        <v>225</v>
      </c>
      <c r="AO18" s="1" t="s">
        <v>226</v>
      </c>
      <c r="AP18" s="1" t="s">
        <v>226</v>
      </c>
      <c r="AQ18" s="1" t="s">
        <v>225</v>
      </c>
      <c r="AR18" s="1" t="s">
        <v>222</v>
      </c>
      <c r="AS18" s="1" t="s">
        <v>226</v>
      </c>
      <c r="AT18" s="1" t="s">
        <v>225</v>
      </c>
      <c r="AU18" s="1" t="s">
        <v>226</v>
      </c>
    </row>
    <row r="19" spans="1:286" ht="13.2" hidden="1" x14ac:dyDescent="0.25">
      <c r="A19" s="1" t="s">
        <v>227</v>
      </c>
      <c r="FM19" s="1">
        <v>3</v>
      </c>
      <c r="FN19" s="1">
        <v>7</v>
      </c>
      <c r="FO19" s="1">
        <v>4</v>
      </c>
      <c r="FP19" s="1">
        <v>6</v>
      </c>
      <c r="FQ19" s="1">
        <v>2</v>
      </c>
      <c r="FR19" s="1" t="s">
        <v>223</v>
      </c>
      <c r="FS19" s="1">
        <v>5</v>
      </c>
      <c r="FT19" s="1" t="s">
        <v>224</v>
      </c>
      <c r="FU19" s="1">
        <v>1</v>
      </c>
      <c r="FV19" s="1" t="s">
        <v>222</v>
      </c>
      <c r="FW19" s="1">
        <v>3</v>
      </c>
      <c r="JQ19" s="1">
        <v>5</v>
      </c>
      <c r="JR19" s="1" t="s">
        <v>219</v>
      </c>
      <c r="JS19" s="1">
        <v>6</v>
      </c>
      <c r="JT19" s="1">
        <v>6</v>
      </c>
      <c r="JU19" s="1">
        <v>5</v>
      </c>
      <c r="JV19" s="1" t="s">
        <v>222</v>
      </c>
      <c r="JW19" s="1" t="s">
        <v>223</v>
      </c>
      <c r="JX19" s="1" t="s">
        <v>223</v>
      </c>
      <c r="JY19" s="1"/>
      <c r="JZ19" s="1"/>
    </row>
    <row r="20" spans="1:286" ht="13.2" hidden="1" x14ac:dyDescent="0.25">
      <c r="A20" s="1" t="s">
        <v>217</v>
      </c>
      <c r="AV20" s="1">
        <v>3</v>
      </c>
      <c r="AW20" s="1">
        <v>4</v>
      </c>
      <c r="AX20" s="1">
        <v>7</v>
      </c>
      <c r="AY20" s="1">
        <v>3</v>
      </c>
      <c r="AZ20" s="1">
        <v>4</v>
      </c>
      <c r="BA20" s="1">
        <v>7</v>
      </c>
      <c r="BB20" s="1">
        <v>4</v>
      </c>
      <c r="BC20" s="1">
        <v>5</v>
      </c>
      <c r="BD20" s="1">
        <v>7</v>
      </c>
      <c r="BE20" s="1">
        <v>6</v>
      </c>
      <c r="BF20" s="1">
        <v>6</v>
      </c>
      <c r="BG20" s="1">
        <v>1</v>
      </c>
      <c r="BH20" s="1">
        <v>3</v>
      </c>
      <c r="BI20" s="1">
        <v>4</v>
      </c>
      <c r="BJ20" s="1">
        <v>7</v>
      </c>
      <c r="BK20" s="1" t="s">
        <v>226</v>
      </c>
      <c r="BL20" s="1" t="s">
        <v>226</v>
      </c>
      <c r="BM20" s="1" t="s">
        <v>231</v>
      </c>
      <c r="BN20" s="1">
        <f>IF(BK20="Muy poca importancia",1,IF(BK20="Poca Importancia",2,IF(BK20="Ni Poca/ Ni Mucha",3,IF(BK20="Algo de importancia",4,IF(BK20="Mucha Importancia",5,0)))))</f>
        <v>4</v>
      </c>
      <c r="BO20" s="1">
        <f t="shared" ref="BO20" si="10">IF(BL20="Muy poca importancia",1,IF(BL20="Poca Importancia",2,IF(BL20="Ni Poca/ Ni Mucha",3,IF(BL20="Algo de importancia",4,IF(BL20="Mucha Importancia",5,0)))))</f>
        <v>4</v>
      </c>
      <c r="BP20" s="1"/>
      <c r="BQ20" s="1" t="s">
        <v>226</v>
      </c>
      <c r="BR20" s="1" t="s">
        <v>226</v>
      </c>
      <c r="BS20" s="1" t="s">
        <v>224</v>
      </c>
      <c r="BT20" s="1">
        <f>IF(BQ20="Muy poca importancia",1,IF(BQ20="Poca Importancia",2,IF(BQ20="Ni Poca/ Ni Mucha",3,IF(BQ20="Algo de importancia",4,IF(BQ20="Mucha Importancia",5,0)))))</f>
        <v>4</v>
      </c>
      <c r="BU20" s="1">
        <f t="shared" ref="BU20" si="11">IF(BR20="Muy poca importancia",1,IF(BR20="Poca Importancia",2,IF(BR20="Ni Poca/ Ni Mucha",3,IF(BR20="Algo de importancia",4,IF(BR20="Mucha Importancia",5,0)))))</f>
        <v>4</v>
      </c>
      <c r="BV20" s="1">
        <f t="shared" ref="BV20" si="12">IF(BS20="Muy poca importancia",1,IF(BS20="Poca Importancia",2,IF(BS20="Ni Poca/ Ni Mucha",3,IF(BS20="Algo de importancia",4,IF(BS20="Mucha Importancia",5,0)))))</f>
        <v>1</v>
      </c>
      <c r="BW20" s="1" t="s">
        <v>223</v>
      </c>
      <c r="BX20" s="1" t="s">
        <v>223</v>
      </c>
      <c r="BY20" s="1" t="s">
        <v>231</v>
      </c>
      <c r="BZ20" s="1">
        <f>IF(BW20="Muy poca importancia",1,IF(BW20="Poca Importancia",2,IF(BW20="Ni Poca/ Ni Mucha",3,IF(BW20="Algo de importancia",4,IF(BW20="Mucha Importancia",5,0)))))</f>
        <v>5</v>
      </c>
      <c r="CA20" s="1">
        <f t="shared" ref="CA20" si="13">IF(BX20="Muy poca importancia",1,IF(BX20="Poca Importancia",2,IF(BX20="Ni Poca/ Ni Mucha",3,IF(BX20="Algo de importancia",4,IF(BX20="Mucha Importancia",5,0)))))</f>
        <v>5</v>
      </c>
      <c r="CB20" s="1">
        <f t="shared" ref="CB20" si="14">IF(BY20="Muy poca importancia",1,IF(BY20="Poca Importancia",2,IF(BY20="Ni Poca/ Ni Mucha",3,IF(BY20="Algo de importancia",4,IF(BY20="Mucha Importancia",5,0)))))</f>
        <v>0</v>
      </c>
    </row>
    <row r="21" spans="1:286" ht="13.2" hidden="1" x14ac:dyDescent="0.25">
      <c r="A21" s="1" t="s">
        <v>229</v>
      </c>
      <c r="CC21" s="1">
        <v>3</v>
      </c>
      <c r="CD21" s="1">
        <v>6</v>
      </c>
      <c r="CE21" s="1">
        <v>6</v>
      </c>
      <c r="CF21" s="1">
        <v>7</v>
      </c>
      <c r="CG21" s="1">
        <v>4</v>
      </c>
      <c r="CH21" s="1">
        <v>6</v>
      </c>
      <c r="CI21" s="1">
        <v>5</v>
      </c>
      <c r="CJ21" s="1">
        <v>6</v>
      </c>
      <c r="CK21" s="1">
        <v>3</v>
      </c>
      <c r="CL21" s="1">
        <v>7</v>
      </c>
      <c r="CM21" s="1" t="s">
        <v>223</v>
      </c>
      <c r="CN21" s="1" t="s">
        <v>222</v>
      </c>
      <c r="CO21" s="1">
        <f t="shared" ref="CO21:CO22" si="15">IF(CM21="Muy poca importancia",1,IF(CM21="Poca Importancia",2,IF(CM21="Ni Poca/ Ni Mucha",3,IF(CM21="Algo de importancia",4,IF(CM21="Mucha Importancia",5,0)))))</f>
        <v>5</v>
      </c>
      <c r="CP21" s="1">
        <f t="shared" ref="CP21:CP22" si="16">IF(CN21="Muy poca importancia",1,IF(CN21="Poca Importancia",2,IF(CN21="Ni Poca/ Ni Mucha",3,IF(CN21="Algo de importancia",4,IF(CN21="Mucha Importancia",5,0)))))</f>
        <v>3</v>
      </c>
      <c r="CQ21" s="1" t="s">
        <v>223</v>
      </c>
      <c r="CR21" s="1" t="s">
        <v>223</v>
      </c>
      <c r="CS21" s="1">
        <f t="shared" ref="CS21:CS22" si="17">IF(CQ21="Muy poca importancia",1,IF(CQ21="Poca Importancia",2,IF(CQ21="Ni Poca/ Ni Mucha",3,IF(CQ21="Algo de importancia",4,IF(CQ21="Mucha Importancia",5,0)))))</f>
        <v>5</v>
      </c>
      <c r="CT21" s="1">
        <f t="shared" ref="CT21:CT22" si="18">IF(CR21="Muy poca importancia",1,IF(CR21="Poca Importancia",2,IF(CR21="Ni Poca/ Ni Mucha",3,IF(CR21="Algo de importancia",4,IF(CR21="Mucha Importancia",5,0)))))</f>
        <v>5</v>
      </c>
      <c r="CU21" s="1" t="s">
        <v>223</v>
      </c>
      <c r="CV21" s="1" t="s">
        <v>223</v>
      </c>
      <c r="CW21" s="1">
        <f t="shared" ref="CW21:CW22" si="19">IF(CU21="Muy poca importancia",1,IF(CU21="Poca Importancia",2,IF(CU21="Ni Poca/ Ni Mucha",3,IF(CU21="Algo de importancia",4,IF(CU21="Mucha Importancia",5,0)))))</f>
        <v>5</v>
      </c>
      <c r="CX21" s="1">
        <f t="shared" ref="CX21:CX22" si="20">IF(CV21="Muy poca importancia",1,IF(CV21="Poca Importancia",2,IF(CV21="Ni Poca/ Ni Mucha",3,IF(CV21="Algo de importancia",4,IF(CV21="Mucha Importancia",5,0)))))</f>
        <v>5</v>
      </c>
    </row>
    <row r="22" spans="1:286" ht="13.2" hidden="1" x14ac:dyDescent="0.25">
      <c r="A22" s="1" t="s">
        <v>229</v>
      </c>
      <c r="CC22" s="1">
        <v>4</v>
      </c>
      <c r="CD22" s="1">
        <v>5</v>
      </c>
      <c r="CE22" s="1">
        <v>6</v>
      </c>
      <c r="CF22" s="1">
        <v>6</v>
      </c>
      <c r="CG22" s="1">
        <v>4</v>
      </c>
      <c r="CH22" s="1">
        <v>6</v>
      </c>
      <c r="CI22" s="1">
        <v>4</v>
      </c>
      <c r="CJ22" s="1">
        <v>5</v>
      </c>
      <c r="CK22" s="1">
        <v>4</v>
      </c>
      <c r="CL22" s="1">
        <v>4</v>
      </c>
      <c r="CM22" s="1" t="s">
        <v>226</v>
      </c>
      <c r="CN22" s="1" t="s">
        <v>223</v>
      </c>
      <c r="CO22" s="1">
        <f t="shared" si="15"/>
        <v>4</v>
      </c>
      <c r="CP22" s="1">
        <f t="shared" si="16"/>
        <v>5</v>
      </c>
      <c r="CQ22" s="1" t="s">
        <v>223</v>
      </c>
      <c r="CR22" s="1" t="s">
        <v>223</v>
      </c>
      <c r="CS22" s="1">
        <f t="shared" si="17"/>
        <v>5</v>
      </c>
      <c r="CT22" s="1">
        <f t="shared" si="18"/>
        <v>5</v>
      </c>
      <c r="CU22" s="1" t="s">
        <v>226</v>
      </c>
      <c r="CV22" s="1" t="s">
        <v>223</v>
      </c>
      <c r="CW22" s="1">
        <f t="shared" si="19"/>
        <v>4</v>
      </c>
      <c r="CX22" s="1">
        <f t="shared" si="20"/>
        <v>5</v>
      </c>
    </row>
    <row r="23" spans="1:286" ht="13.2" hidden="1" x14ac:dyDescent="0.25">
      <c r="A23" s="1" t="s">
        <v>239</v>
      </c>
      <c r="EQ23" s="1">
        <v>3</v>
      </c>
      <c r="ER23" s="1">
        <v>7</v>
      </c>
      <c r="ES23" s="1">
        <v>4</v>
      </c>
      <c r="ET23" s="1">
        <v>7</v>
      </c>
      <c r="EU23" s="1">
        <v>2</v>
      </c>
      <c r="EV23" s="1">
        <v>7</v>
      </c>
      <c r="EW23" s="1">
        <v>2</v>
      </c>
      <c r="EX23" s="1">
        <v>1</v>
      </c>
      <c r="EY23" s="1">
        <v>2</v>
      </c>
      <c r="EZ23" s="1">
        <v>7</v>
      </c>
      <c r="FA23" s="1" t="s">
        <v>226</v>
      </c>
      <c r="FB23" s="1" t="s">
        <v>224</v>
      </c>
      <c r="FC23" s="1">
        <v>4</v>
      </c>
      <c r="FD23" s="1">
        <v>1</v>
      </c>
      <c r="FE23" s="1" t="s">
        <v>226</v>
      </c>
      <c r="FF23" s="1" t="s">
        <v>224</v>
      </c>
      <c r="FG23" s="1">
        <v>4</v>
      </c>
      <c r="FH23" s="1">
        <v>1</v>
      </c>
      <c r="FI23" s="1" t="s">
        <v>226</v>
      </c>
      <c r="FJ23" s="1" t="s">
        <v>225</v>
      </c>
      <c r="FK23" s="1">
        <v>4</v>
      </c>
      <c r="FL23" s="1">
        <v>2</v>
      </c>
    </row>
    <row r="24" spans="1:286" ht="13.2" hidden="1" x14ac:dyDescent="0.25">
      <c r="A24" s="1" t="s">
        <v>217</v>
      </c>
      <c r="AV24" s="1">
        <v>2</v>
      </c>
      <c r="AW24" s="1">
        <v>6</v>
      </c>
      <c r="AX24" s="1">
        <v>7</v>
      </c>
      <c r="AY24" s="1">
        <v>4</v>
      </c>
      <c r="AZ24" s="1">
        <v>6</v>
      </c>
      <c r="BA24" s="1">
        <v>5</v>
      </c>
      <c r="BB24" s="1">
        <v>4</v>
      </c>
      <c r="BC24" s="1">
        <v>6</v>
      </c>
      <c r="BD24" s="1">
        <v>7</v>
      </c>
      <c r="BE24" s="1">
        <v>4</v>
      </c>
      <c r="BF24" s="1">
        <v>4</v>
      </c>
      <c r="BG24" s="1">
        <v>2</v>
      </c>
      <c r="BH24" s="1">
        <v>2</v>
      </c>
      <c r="BI24" s="1">
        <v>5</v>
      </c>
      <c r="BJ24" s="1">
        <v>7</v>
      </c>
      <c r="BK24" s="1" t="s">
        <v>226</v>
      </c>
      <c r="BL24" s="1" t="s">
        <v>222</v>
      </c>
      <c r="BM24" s="1" t="s">
        <v>226</v>
      </c>
      <c r="BN24" s="1">
        <f>IF(BK24="Muy poca importancia",1,IF(BK24="Poca Importancia",2,IF(BK24="Ni Poca/ Ni Mucha",3,IF(BK24="Algo de importancia",4,IF(BK24="Mucha Importancia",5,0)))))</f>
        <v>4</v>
      </c>
      <c r="BO24" s="1">
        <f t="shared" ref="BO24:BP24" si="21">IF(BL24="Muy poca importancia",1,IF(BL24="Poca Importancia",2,IF(BL24="Ni Poca/ Ni Mucha",3,IF(BL24="Algo de importancia",4,IF(BL24="Mucha Importancia",5,0)))))</f>
        <v>3</v>
      </c>
      <c r="BP24" s="1">
        <f t="shared" si="21"/>
        <v>4</v>
      </c>
      <c r="BQ24" s="1" t="s">
        <v>225</v>
      </c>
      <c r="BR24" s="1" t="s">
        <v>226</v>
      </c>
      <c r="BS24" s="1" t="s">
        <v>224</v>
      </c>
      <c r="BT24" s="1">
        <f>IF(BQ24="Muy poca importancia",1,IF(BQ24="Poca Importancia",2,IF(BQ24="Ni Poca/ Ni Mucha",3,IF(BQ24="Algo de importancia",4,IF(BQ24="Mucha Importancia",5,0)))))</f>
        <v>2</v>
      </c>
      <c r="BU24" s="1">
        <f t="shared" ref="BU24" si="22">IF(BR24="Muy poca importancia",1,IF(BR24="Poca Importancia",2,IF(BR24="Ni Poca/ Ni Mucha",3,IF(BR24="Algo de importancia",4,IF(BR24="Mucha Importancia",5,0)))))</f>
        <v>4</v>
      </c>
      <c r="BV24" s="1">
        <f t="shared" ref="BV24" si="23">IF(BS24="Muy poca importancia",1,IF(BS24="Poca Importancia",2,IF(BS24="Ni Poca/ Ni Mucha",3,IF(BS24="Algo de importancia",4,IF(BS24="Mucha Importancia",5,0)))))</f>
        <v>1</v>
      </c>
      <c r="BW24" s="1" t="s">
        <v>226</v>
      </c>
      <c r="BX24" s="1" t="s">
        <v>223</v>
      </c>
      <c r="BY24" s="1" t="s">
        <v>225</v>
      </c>
      <c r="BZ24" s="1">
        <f>IF(BW24="Muy poca importancia",1,IF(BW24="Poca Importancia",2,IF(BW24="Ni Poca/ Ni Mucha",3,IF(BW24="Algo de importancia",4,IF(BW24="Mucha Importancia",5,0)))))</f>
        <v>4</v>
      </c>
      <c r="CA24" s="1">
        <f t="shared" ref="CA24" si="24">IF(BX24="Muy poca importancia",1,IF(BX24="Poca Importancia",2,IF(BX24="Ni Poca/ Ni Mucha",3,IF(BX24="Algo de importancia",4,IF(BX24="Mucha Importancia",5,0)))))</f>
        <v>5</v>
      </c>
      <c r="CB24" s="1">
        <f t="shared" ref="CB24" si="25">IF(BY24="Muy poca importancia",1,IF(BY24="Poca Importancia",2,IF(BY24="Ni Poca/ Ni Mucha",3,IF(BY24="Algo de importancia",4,IF(BY24="Mucha Importancia",5,0)))))</f>
        <v>2</v>
      </c>
    </row>
    <row r="25" spans="1:286" ht="13.2" hidden="1" x14ac:dyDescent="0.25">
      <c r="A25" s="1" t="s">
        <v>230</v>
      </c>
      <c r="FX25" s="1">
        <v>7</v>
      </c>
      <c r="FY25" s="1">
        <v>7</v>
      </c>
      <c r="FZ25" s="1">
        <v>6</v>
      </c>
      <c r="GA25" s="1">
        <v>6</v>
      </c>
      <c r="GB25" s="1">
        <v>6</v>
      </c>
      <c r="GC25" s="1">
        <v>5</v>
      </c>
      <c r="GD25" s="1">
        <v>4</v>
      </c>
      <c r="GE25" s="1">
        <v>5</v>
      </c>
      <c r="GF25" s="1">
        <v>7</v>
      </c>
      <c r="GG25" s="1">
        <v>7</v>
      </c>
      <c r="GH25" s="1" t="s">
        <v>222</v>
      </c>
      <c r="GI25" s="1" t="s">
        <v>222</v>
      </c>
      <c r="GJ25" s="1">
        <v>3</v>
      </c>
      <c r="GK25" s="1">
        <v>3</v>
      </c>
      <c r="GL25" s="1" t="s">
        <v>222</v>
      </c>
      <c r="GM25" s="1" t="s">
        <v>226</v>
      </c>
      <c r="GN25" s="1">
        <v>3</v>
      </c>
      <c r="GO25" s="1">
        <v>4</v>
      </c>
      <c r="GP25" s="1" t="s">
        <v>223</v>
      </c>
      <c r="GQ25" s="1" t="s">
        <v>223</v>
      </c>
      <c r="GR25" s="1">
        <v>5</v>
      </c>
      <c r="GS25" s="1">
        <v>5</v>
      </c>
    </row>
    <row r="26" spans="1:286" ht="13.2" hidden="1" x14ac:dyDescent="0.25">
      <c r="A26" s="1" t="s">
        <v>239</v>
      </c>
      <c r="EQ26" s="1">
        <v>2</v>
      </c>
      <c r="ER26" s="1">
        <v>5</v>
      </c>
      <c r="ES26" s="1">
        <v>1</v>
      </c>
      <c r="ET26" s="1">
        <v>3</v>
      </c>
      <c r="EU26" s="1">
        <v>2</v>
      </c>
      <c r="EV26" s="1">
        <v>6</v>
      </c>
      <c r="EW26" s="1">
        <v>2</v>
      </c>
      <c r="EX26" s="1">
        <v>4</v>
      </c>
      <c r="EY26" s="1">
        <v>2</v>
      </c>
      <c r="EZ26" s="1">
        <v>6</v>
      </c>
      <c r="FA26" s="1" t="s">
        <v>223</v>
      </c>
      <c r="FB26" s="1" t="s">
        <v>225</v>
      </c>
      <c r="FC26" s="1">
        <v>5</v>
      </c>
      <c r="FD26" s="1">
        <v>2</v>
      </c>
      <c r="FE26" s="1" t="s">
        <v>226</v>
      </c>
      <c r="FF26" s="1" t="s">
        <v>226</v>
      </c>
      <c r="FG26" s="1">
        <v>4</v>
      </c>
      <c r="FH26" s="1">
        <v>4</v>
      </c>
      <c r="FI26" s="1" t="s">
        <v>226</v>
      </c>
      <c r="FJ26" s="1" t="s">
        <v>222</v>
      </c>
      <c r="FK26" s="1">
        <v>4</v>
      </c>
      <c r="FL26" s="1">
        <v>3</v>
      </c>
    </row>
    <row r="27" spans="1:286" ht="13.2" x14ac:dyDescent="0.25">
      <c r="A27" s="1" t="s">
        <v>232</v>
      </c>
      <c r="IA27" s="1">
        <v>3</v>
      </c>
      <c r="IB27" s="1">
        <v>7</v>
      </c>
      <c r="IC27" s="1">
        <v>3</v>
      </c>
      <c r="ID27" s="1">
        <v>7</v>
      </c>
      <c r="IE27" s="1">
        <v>3</v>
      </c>
      <c r="IF27" s="1">
        <v>5</v>
      </c>
      <c r="IG27" s="1">
        <v>3</v>
      </c>
      <c r="IH27" s="1">
        <v>6</v>
      </c>
      <c r="II27" s="1">
        <v>3</v>
      </c>
      <c r="IJ27" s="1">
        <v>5</v>
      </c>
      <c r="IK27" s="1" t="s">
        <v>223</v>
      </c>
      <c r="IL27" s="1" t="s">
        <v>223</v>
      </c>
      <c r="IM27" s="1">
        <v>5</v>
      </c>
      <c r="IN27" s="1">
        <v>5</v>
      </c>
      <c r="IO27" s="1" t="s">
        <v>223</v>
      </c>
      <c r="IP27" s="1" t="s">
        <v>223</v>
      </c>
      <c r="IQ27" s="1">
        <v>5</v>
      </c>
      <c r="IR27" s="1">
        <v>5</v>
      </c>
      <c r="IS27" s="1" t="s">
        <v>223</v>
      </c>
      <c r="IT27" s="1" t="s">
        <v>223</v>
      </c>
      <c r="IU27" s="1">
        <v>5</v>
      </c>
      <c r="IV27" s="1">
        <v>5</v>
      </c>
    </row>
    <row r="28" spans="1:286" ht="13.2" hidden="1" x14ac:dyDescent="0.25">
      <c r="A28" s="1" t="s">
        <v>235</v>
      </c>
      <c r="B28" s="1">
        <v>6</v>
      </c>
      <c r="C28" s="1">
        <v>3</v>
      </c>
      <c r="D28" s="1">
        <v>5</v>
      </c>
      <c r="E28" s="1">
        <v>1</v>
      </c>
      <c r="F28" s="1">
        <v>5</v>
      </c>
      <c r="G28" s="1">
        <v>1</v>
      </c>
      <c r="H28" s="1">
        <v>2</v>
      </c>
      <c r="I28" s="1">
        <v>2</v>
      </c>
      <c r="J28" s="1">
        <v>5</v>
      </c>
      <c r="K28" s="1">
        <v>2</v>
      </c>
      <c r="L28" s="1" t="s">
        <v>225</v>
      </c>
      <c r="M28" s="1" t="s">
        <v>225</v>
      </c>
      <c r="N28" s="1">
        <f>IF(L28="Muy poca importancia",1,IF(L28="Poca Importancia",2,IF(L28="Ni Poca/ Ni Mucha",3,IF(L28="Algo de importancia",4,IF(L28="Mucha Importancia",5,0)))))</f>
        <v>2</v>
      </c>
      <c r="O28" s="1">
        <f>IF(M28="Muy poca importancia",1,IF(M28="Poca Importancia",2,IF(M28="Ni Poca/ Ni Mucha",3,IF(M28="Algo de importancia",4,IF(M28="Mucha Importancia",5,0)))))</f>
        <v>2</v>
      </c>
      <c r="P28" s="1" t="s">
        <v>223</v>
      </c>
      <c r="Q28" s="1" t="s">
        <v>224</v>
      </c>
      <c r="R28" s="1">
        <f>IF(P28="Muy poca importancia",1,IF(P28="Poca Importancia",2,IF(P28="Ni Poca/ Ni Mucha",3,IF(P28="Algo de importancia",4,IF(P28="Mucha Importancia",5,0)))))</f>
        <v>5</v>
      </c>
      <c r="S28" s="1">
        <f>IF(Q28="Muy poca importancia",1,IF(Q28="Poca Importancia",2,IF(Q28="Ni Poca/ Ni Mucha",3,IF(Q28="Algo de importancia",4,IF(Q28="Mucha Importancia",5,0)))))</f>
        <v>1</v>
      </c>
      <c r="T28" s="1" t="s">
        <v>223</v>
      </c>
      <c r="U28" s="1" t="s">
        <v>225</v>
      </c>
      <c r="V28" s="1">
        <f>IF(T28="Muy poca importancia",1,IF(T28="Poca Importancia",2,IF(T28="Ni Poca/ Ni Mucha",3,IF(T28="Algo de importancia",4,IF(T28="Mucha Importancia",5,0)))))</f>
        <v>5</v>
      </c>
      <c r="W28" s="1">
        <f>IF(U28="Muy poca importancia",1,IF(U28="Poca Importancia",2,IF(U28="Ni Poca/ Ni Mucha",3,IF(U28="Algo de importancia",4,IF(U28="Mucha Importancia",5,0)))))</f>
        <v>2</v>
      </c>
    </row>
    <row r="29" spans="1:286" ht="13.2" x14ac:dyDescent="0.25">
      <c r="A29" s="1" t="s">
        <v>232</v>
      </c>
      <c r="IA29" s="1">
        <v>2</v>
      </c>
      <c r="IB29" s="1">
        <v>6</v>
      </c>
      <c r="IC29" s="1">
        <v>4</v>
      </c>
      <c r="ID29" s="1">
        <v>7</v>
      </c>
      <c r="IE29" s="1">
        <v>4</v>
      </c>
      <c r="IF29" s="1">
        <v>7</v>
      </c>
      <c r="IG29" s="1">
        <v>4</v>
      </c>
      <c r="IH29" s="1">
        <v>1</v>
      </c>
      <c r="II29" s="1">
        <v>3</v>
      </c>
      <c r="IJ29" s="1">
        <v>7</v>
      </c>
      <c r="IK29" s="1" t="s">
        <v>226</v>
      </c>
      <c r="IL29" s="1" t="s">
        <v>226</v>
      </c>
      <c r="IM29" s="1">
        <v>4</v>
      </c>
      <c r="IN29" s="1">
        <v>4</v>
      </c>
      <c r="IO29" s="1" t="s">
        <v>223</v>
      </c>
      <c r="IP29" s="1" t="s">
        <v>223</v>
      </c>
      <c r="IQ29" s="1">
        <v>5</v>
      </c>
      <c r="IR29" s="1">
        <v>5</v>
      </c>
      <c r="IS29" s="1" t="s">
        <v>223</v>
      </c>
      <c r="IT29" s="1" t="s">
        <v>223</v>
      </c>
      <c r="IU29" s="1">
        <v>5</v>
      </c>
      <c r="IV29" s="1">
        <v>5</v>
      </c>
    </row>
    <row r="30" spans="1:286" ht="13.2" hidden="1" x14ac:dyDescent="0.25">
      <c r="A30" s="1" t="s">
        <v>235</v>
      </c>
      <c r="B30" s="1">
        <v>7</v>
      </c>
      <c r="C30" s="1">
        <v>3</v>
      </c>
      <c r="D30" s="1">
        <v>7</v>
      </c>
      <c r="E30" s="1">
        <v>2</v>
      </c>
      <c r="F30" s="1">
        <v>7</v>
      </c>
      <c r="G30" s="1">
        <v>3</v>
      </c>
      <c r="H30" s="1">
        <v>1</v>
      </c>
      <c r="I30" s="1">
        <v>4</v>
      </c>
      <c r="J30" s="1">
        <v>6</v>
      </c>
      <c r="K30" s="1">
        <v>2</v>
      </c>
      <c r="L30" s="1" t="s">
        <v>225</v>
      </c>
      <c r="M30" s="1" t="s">
        <v>223</v>
      </c>
      <c r="N30" s="1">
        <f t="shared" ref="N30:N32" si="26">IF(L30="Muy poca importancia",1,IF(L30="Poca Importancia",2,IF(L30="Ni Poca/ Ni Mucha",3,IF(L30="Algo de importancia",4,IF(L30="Mucha Importancia",5,0)))))</f>
        <v>2</v>
      </c>
      <c r="O30" s="1">
        <f t="shared" ref="O30:O32" si="27">IF(M30="Muy poca importancia",1,IF(M30="Poca Importancia",2,IF(M30="Ni Poca/ Ni Mucha",3,IF(M30="Algo de importancia",4,IF(M30="Mucha Importancia",5,0)))))</f>
        <v>5</v>
      </c>
      <c r="P30" s="1" t="s">
        <v>223</v>
      </c>
      <c r="Q30" s="1" t="s">
        <v>223</v>
      </c>
      <c r="R30" s="1">
        <f t="shared" ref="R30:R32" si="28">IF(P30="Muy poca importancia",1,IF(P30="Poca Importancia",2,IF(P30="Ni Poca/ Ni Mucha",3,IF(P30="Algo de importancia",4,IF(P30="Mucha Importancia",5,0)))))</f>
        <v>5</v>
      </c>
      <c r="S30" s="1">
        <f t="shared" ref="S30:S32" si="29">IF(Q30="Muy poca importancia",1,IF(Q30="Poca Importancia",2,IF(Q30="Ni Poca/ Ni Mucha",3,IF(Q30="Algo de importancia",4,IF(Q30="Mucha Importancia",5,0)))))</f>
        <v>5</v>
      </c>
      <c r="T30" s="1" t="s">
        <v>222</v>
      </c>
      <c r="U30" s="1" t="s">
        <v>223</v>
      </c>
      <c r="V30" s="1">
        <f t="shared" ref="V30:V32" si="30">IF(T30="Muy poca importancia",1,IF(T30="Poca Importancia",2,IF(T30="Ni Poca/ Ni Mucha",3,IF(T30="Algo de importancia",4,IF(T30="Mucha Importancia",5,0)))))</f>
        <v>3</v>
      </c>
      <c r="W30" s="1">
        <f t="shared" ref="W30:W32" si="31">IF(U30="Muy poca importancia",1,IF(U30="Poca Importancia",2,IF(U30="Ni Poca/ Ni Mucha",3,IF(U30="Algo de importancia",4,IF(U30="Mucha Importancia",5,0)))))</f>
        <v>5</v>
      </c>
    </row>
    <row r="31" spans="1:286" ht="13.2" hidden="1" x14ac:dyDescent="0.25">
      <c r="A31" s="1" t="s">
        <v>235</v>
      </c>
      <c r="B31" s="1">
        <v>7</v>
      </c>
      <c r="C31" s="1">
        <v>4</v>
      </c>
      <c r="D31" s="1">
        <v>6</v>
      </c>
      <c r="E31" s="1">
        <v>3</v>
      </c>
      <c r="F31" s="1">
        <v>7</v>
      </c>
      <c r="G31" s="1">
        <v>4</v>
      </c>
      <c r="H31" s="1">
        <v>1</v>
      </c>
      <c r="I31" s="1">
        <v>4</v>
      </c>
      <c r="J31" s="1">
        <v>7</v>
      </c>
      <c r="K31" s="1">
        <v>2</v>
      </c>
      <c r="L31" s="1" t="s">
        <v>224</v>
      </c>
      <c r="M31" s="1" t="s">
        <v>226</v>
      </c>
      <c r="N31" s="1">
        <f t="shared" si="26"/>
        <v>1</v>
      </c>
      <c r="O31" s="1">
        <f t="shared" si="27"/>
        <v>4</v>
      </c>
      <c r="P31" s="1" t="s">
        <v>223</v>
      </c>
      <c r="Q31" s="1" t="s">
        <v>222</v>
      </c>
      <c r="R31" s="1">
        <f t="shared" si="28"/>
        <v>5</v>
      </c>
      <c r="S31" s="1">
        <f t="shared" si="29"/>
        <v>3</v>
      </c>
      <c r="T31" s="1" t="s">
        <v>226</v>
      </c>
      <c r="U31" s="1" t="s">
        <v>226</v>
      </c>
      <c r="V31" s="1">
        <f t="shared" si="30"/>
        <v>4</v>
      </c>
      <c r="W31" s="1">
        <f t="shared" si="31"/>
        <v>4</v>
      </c>
    </row>
    <row r="32" spans="1:286" ht="13.2" hidden="1" x14ac:dyDescent="0.25">
      <c r="A32" s="1" t="s">
        <v>235</v>
      </c>
      <c r="B32" s="1">
        <v>6</v>
      </c>
      <c r="C32" s="1">
        <v>2</v>
      </c>
      <c r="D32" s="1">
        <v>5</v>
      </c>
      <c r="E32" s="1">
        <v>2</v>
      </c>
      <c r="F32" s="1">
        <v>4</v>
      </c>
      <c r="G32" s="1">
        <v>3</v>
      </c>
      <c r="H32" s="1">
        <v>5</v>
      </c>
      <c r="I32" s="1">
        <v>3</v>
      </c>
      <c r="J32" s="1">
        <v>6</v>
      </c>
      <c r="K32" s="1">
        <v>3</v>
      </c>
      <c r="L32" s="1" t="s">
        <v>222</v>
      </c>
      <c r="M32" s="1" t="s">
        <v>226</v>
      </c>
      <c r="N32" s="1">
        <f t="shared" si="26"/>
        <v>3</v>
      </c>
      <c r="O32" s="1">
        <f t="shared" si="27"/>
        <v>4</v>
      </c>
      <c r="P32" s="1" t="s">
        <v>223</v>
      </c>
      <c r="Q32" s="1" t="s">
        <v>225</v>
      </c>
      <c r="R32" s="1">
        <f t="shared" si="28"/>
        <v>5</v>
      </c>
      <c r="S32" s="1">
        <f t="shared" si="29"/>
        <v>2</v>
      </c>
      <c r="T32" s="1" t="s">
        <v>223</v>
      </c>
      <c r="U32" s="1" t="s">
        <v>222</v>
      </c>
      <c r="V32" s="1">
        <f t="shared" si="30"/>
        <v>5</v>
      </c>
      <c r="W32" s="1">
        <f t="shared" si="31"/>
        <v>3</v>
      </c>
    </row>
    <row r="33" spans="1:256" ht="13.2" hidden="1" x14ac:dyDescent="0.25">
      <c r="A33" s="1" t="s">
        <v>229</v>
      </c>
      <c r="CC33" s="1">
        <v>3</v>
      </c>
      <c r="CD33" s="1">
        <v>6</v>
      </c>
      <c r="CE33" s="1">
        <v>7</v>
      </c>
      <c r="CF33" s="1">
        <v>7</v>
      </c>
      <c r="CG33" s="1">
        <v>4</v>
      </c>
      <c r="CH33" s="1">
        <v>5</v>
      </c>
      <c r="CI33" s="1">
        <v>6</v>
      </c>
      <c r="CJ33" s="1">
        <v>3</v>
      </c>
      <c r="CK33" s="1">
        <v>3</v>
      </c>
      <c r="CL33" s="1">
        <v>4</v>
      </c>
      <c r="CM33" s="1" t="s">
        <v>223</v>
      </c>
      <c r="CN33" s="1" t="s">
        <v>223</v>
      </c>
      <c r="CO33" s="1">
        <f>IF(CM33="Muy poca importancia",1,IF(CM33="Poca Importancia",2,IF(CM33="Ni Poca/ Ni Mucha",3,IF(CM33="Algo de importancia",4,IF(CM33="Mucha Importancia",5,0)))))</f>
        <v>5</v>
      </c>
      <c r="CP33" s="1">
        <f>IF(CN33="Muy poca importancia",1,IF(CN33="Poca Importancia",2,IF(CN33="Ni Poca/ Ni Mucha",3,IF(CN33="Algo de importancia",4,IF(CN33="Mucha Importancia",5,0)))))</f>
        <v>5</v>
      </c>
      <c r="CQ33" s="1" t="s">
        <v>226</v>
      </c>
      <c r="CR33" s="1" t="s">
        <v>226</v>
      </c>
      <c r="CS33" s="1">
        <f>IF(CQ33="Muy poca importancia",1,IF(CQ33="Poca Importancia",2,IF(CQ33="Ni Poca/ Ni Mucha",3,IF(CQ33="Algo de importancia",4,IF(CQ33="Mucha Importancia",5,0)))))</f>
        <v>4</v>
      </c>
      <c r="CT33" s="1">
        <f>IF(CR33="Muy poca importancia",1,IF(CR33="Poca Importancia",2,IF(CR33="Ni Poca/ Ni Mucha",3,IF(CR33="Algo de importancia",4,IF(CR33="Mucha Importancia",5,0)))))</f>
        <v>4</v>
      </c>
      <c r="CU33" s="1" t="s">
        <v>223</v>
      </c>
      <c r="CV33" s="1" t="s">
        <v>223</v>
      </c>
      <c r="CW33" s="1">
        <f>IF(CU33="Muy poca importancia",1,IF(CU33="Poca Importancia",2,IF(CU33="Ni Poca/ Ni Mucha",3,IF(CU33="Algo de importancia",4,IF(CU33="Mucha Importancia",5,0)))))</f>
        <v>5</v>
      </c>
      <c r="CX33" s="1">
        <f>IF(CV33="Muy poca importancia",1,IF(CV33="Poca Importancia",2,IF(CV33="Ni Poca/ Ni Mucha",3,IF(CV33="Algo de importancia",4,IF(CV33="Mucha Importancia",5,0)))))</f>
        <v>5</v>
      </c>
    </row>
    <row r="34" spans="1:256" ht="13.2" hidden="1" x14ac:dyDescent="0.25">
      <c r="A34" s="1" t="s">
        <v>230</v>
      </c>
      <c r="FX34" s="1">
        <v>7</v>
      </c>
      <c r="FY34" s="1">
        <v>7</v>
      </c>
      <c r="FZ34" s="1">
        <v>6</v>
      </c>
      <c r="GA34" s="1">
        <v>6</v>
      </c>
      <c r="GB34" s="1">
        <v>4</v>
      </c>
      <c r="GC34" s="1">
        <v>5</v>
      </c>
      <c r="GD34" s="1">
        <v>5</v>
      </c>
      <c r="GE34" s="1">
        <v>5</v>
      </c>
      <c r="GF34" s="1">
        <v>6</v>
      </c>
      <c r="GG34" s="1">
        <v>6</v>
      </c>
      <c r="GH34" s="1" t="s">
        <v>225</v>
      </c>
      <c r="GI34" s="1" t="s">
        <v>222</v>
      </c>
      <c r="GJ34" s="1">
        <v>2</v>
      </c>
      <c r="GK34" s="1">
        <v>3</v>
      </c>
      <c r="GL34" s="1" t="s">
        <v>223</v>
      </c>
      <c r="GM34" s="1" t="s">
        <v>226</v>
      </c>
      <c r="GN34" s="1">
        <v>5</v>
      </c>
      <c r="GO34" s="1">
        <v>4</v>
      </c>
      <c r="GP34" s="1" t="s">
        <v>223</v>
      </c>
      <c r="GQ34" s="1" t="s">
        <v>223</v>
      </c>
      <c r="GR34" s="1">
        <v>5</v>
      </c>
      <c r="GS34" s="1">
        <v>5</v>
      </c>
    </row>
    <row r="35" spans="1:256" ht="13.2" hidden="1" x14ac:dyDescent="0.25">
      <c r="A35" s="1" t="s">
        <v>240</v>
      </c>
      <c r="DU35" s="1">
        <v>3</v>
      </c>
      <c r="DV35" s="1">
        <v>4</v>
      </c>
      <c r="DW35" s="1">
        <v>4</v>
      </c>
      <c r="DX35" s="1">
        <v>5</v>
      </c>
      <c r="DY35" s="1">
        <v>5</v>
      </c>
      <c r="DZ35" s="1">
        <v>5</v>
      </c>
      <c r="EA35" s="1">
        <v>5</v>
      </c>
      <c r="EB35" s="1">
        <v>6</v>
      </c>
      <c r="EC35" s="1">
        <v>4</v>
      </c>
      <c r="ED35" s="1">
        <v>4</v>
      </c>
      <c r="EE35" s="1" t="s">
        <v>223</v>
      </c>
      <c r="EF35" s="1" t="s">
        <v>223</v>
      </c>
      <c r="EG35" s="1">
        <v>5</v>
      </c>
      <c r="EH35" s="1">
        <v>5</v>
      </c>
      <c r="EI35" s="1" t="s">
        <v>223</v>
      </c>
      <c r="EJ35" s="1" t="s">
        <v>223</v>
      </c>
      <c r="EK35" s="1">
        <v>5</v>
      </c>
      <c r="EL35" s="1">
        <v>5</v>
      </c>
      <c r="EM35" s="1" t="s">
        <v>226</v>
      </c>
      <c r="EN35" s="1" t="s">
        <v>223</v>
      </c>
      <c r="EO35" s="1">
        <v>4</v>
      </c>
      <c r="EP35" s="1">
        <v>5</v>
      </c>
    </row>
    <row r="36" spans="1:256" ht="13.2" hidden="1" x14ac:dyDescent="0.25">
      <c r="A36" s="1" t="s">
        <v>229</v>
      </c>
      <c r="CC36" s="1">
        <v>2</v>
      </c>
      <c r="CD36" s="1">
        <v>7</v>
      </c>
      <c r="CE36" s="1">
        <v>3</v>
      </c>
      <c r="CF36" s="1">
        <v>7</v>
      </c>
      <c r="CG36" s="1">
        <v>4</v>
      </c>
      <c r="CH36" s="1">
        <v>6</v>
      </c>
      <c r="CI36" s="1">
        <v>4</v>
      </c>
      <c r="CJ36" s="1">
        <v>4</v>
      </c>
      <c r="CK36" s="1">
        <v>4</v>
      </c>
      <c r="CL36" s="1">
        <v>6</v>
      </c>
      <c r="CM36" s="1" t="s">
        <v>225</v>
      </c>
      <c r="CN36" s="1" t="s">
        <v>226</v>
      </c>
      <c r="CO36" s="1">
        <f>IF(CM36="Muy poca importancia",1,IF(CM36="Poca Importancia",2,IF(CM36="Ni Poca/ Ni Mucha",3,IF(CM36="Algo de importancia",4,IF(CM36="Mucha Importancia",5,0)))))</f>
        <v>2</v>
      </c>
      <c r="CP36" s="1">
        <f>IF(CN36="Muy poca importancia",1,IF(CN36="Poca Importancia",2,IF(CN36="Ni Poca/ Ni Mucha",3,IF(CN36="Algo de importancia",4,IF(CN36="Mucha Importancia",5,0)))))</f>
        <v>4</v>
      </c>
      <c r="CQ36" s="1" t="s">
        <v>222</v>
      </c>
      <c r="CR36" s="1" t="s">
        <v>226</v>
      </c>
      <c r="CS36" s="1">
        <f>IF(CQ36="Muy poca importancia",1,IF(CQ36="Poca Importancia",2,IF(CQ36="Ni Poca/ Ni Mucha",3,IF(CQ36="Algo de importancia",4,IF(CQ36="Mucha Importancia",5,0)))))</f>
        <v>3</v>
      </c>
      <c r="CT36" s="1">
        <f>IF(CR36="Muy poca importancia",1,IF(CR36="Poca Importancia",2,IF(CR36="Ni Poca/ Ni Mucha",3,IF(CR36="Algo de importancia",4,IF(CR36="Mucha Importancia",5,0)))))</f>
        <v>4</v>
      </c>
      <c r="CU36" s="1" t="s">
        <v>225</v>
      </c>
      <c r="CV36" s="1" t="s">
        <v>223</v>
      </c>
      <c r="CW36" s="1">
        <f>IF(CU36="Muy poca importancia",1,IF(CU36="Poca Importancia",2,IF(CU36="Ni Poca/ Ni Mucha",3,IF(CU36="Algo de importancia",4,IF(CU36="Mucha Importancia",5,0)))))</f>
        <v>2</v>
      </c>
      <c r="CX36" s="1">
        <f>IF(CV36="Muy poca importancia",1,IF(CV36="Poca Importancia",2,IF(CV36="Ni Poca/ Ni Mucha",3,IF(CV36="Algo de importancia",4,IF(CV36="Mucha Importancia",5,0)))))</f>
        <v>5</v>
      </c>
    </row>
    <row r="37" spans="1:256" ht="13.2" hidden="1" x14ac:dyDescent="0.25">
      <c r="A37" s="1" t="s">
        <v>230</v>
      </c>
      <c r="FX37" s="1">
        <v>7</v>
      </c>
      <c r="FY37" s="1">
        <v>6</v>
      </c>
      <c r="FZ37" s="1">
        <v>4</v>
      </c>
      <c r="GA37" s="1">
        <v>4</v>
      </c>
      <c r="GB37" s="1">
        <v>5</v>
      </c>
      <c r="GC37" s="1">
        <v>4</v>
      </c>
      <c r="GD37" s="1">
        <v>6</v>
      </c>
      <c r="GE37" s="1">
        <v>6</v>
      </c>
      <c r="GF37" s="1">
        <v>4</v>
      </c>
      <c r="GG37" s="1">
        <v>4</v>
      </c>
      <c r="GH37" s="1" t="s">
        <v>226</v>
      </c>
      <c r="GI37" s="1" t="s">
        <v>226</v>
      </c>
      <c r="GJ37" s="1">
        <v>4</v>
      </c>
      <c r="GK37" s="1">
        <v>4</v>
      </c>
      <c r="GL37" s="1" t="s">
        <v>226</v>
      </c>
      <c r="GM37" s="1" t="s">
        <v>226</v>
      </c>
      <c r="GN37" s="1">
        <v>4</v>
      </c>
      <c r="GO37" s="1">
        <v>4</v>
      </c>
      <c r="GP37" s="1" t="s">
        <v>223</v>
      </c>
      <c r="GQ37" s="1" t="s">
        <v>226</v>
      </c>
      <c r="GR37" s="1">
        <v>5</v>
      </c>
      <c r="GS37" s="1">
        <v>4</v>
      </c>
    </row>
    <row r="38" spans="1:256" ht="13.2" hidden="1" x14ac:dyDescent="0.25">
      <c r="A38" s="1" t="s">
        <v>241</v>
      </c>
      <c r="CY38" s="1"/>
      <c r="CZ38" s="1"/>
      <c r="DA38" s="1">
        <v>5</v>
      </c>
      <c r="DB38" s="1">
        <v>5</v>
      </c>
      <c r="DC38" s="1">
        <v>5</v>
      </c>
      <c r="DD38" s="1">
        <v>6</v>
      </c>
      <c r="DE38" s="1">
        <v>5</v>
      </c>
      <c r="DF38" s="1">
        <v>5</v>
      </c>
      <c r="DG38" s="1">
        <v>5</v>
      </c>
      <c r="DH38" s="1">
        <v>6</v>
      </c>
      <c r="DI38" s="1" t="s">
        <v>223</v>
      </c>
      <c r="DJ38" s="1" t="s">
        <v>223</v>
      </c>
      <c r="DK38" s="1">
        <f>IF(DI38="Muy poca importancia",1,IF(DI38="Poca Importancia",2,IF(DI38="Ni Poca/ Ni Mucha",3,IF(DI38="Algo de importancia",4,IF(DI38="Mucha Importancia",5,0)))))</f>
        <v>5</v>
      </c>
      <c r="DL38" s="1">
        <f>IF(DJ38="Muy poca importancia",1,IF(DJ38="Poca Importancia",2,IF(DJ38="Ni Poca/ Ni Mucha",3,IF(DJ38="Algo de importancia",4,IF(DJ38="Mucha Importancia",5,0)))))</f>
        <v>5</v>
      </c>
      <c r="DM38" s="1" t="s">
        <v>223</v>
      </c>
      <c r="DN38" s="1" t="s">
        <v>222</v>
      </c>
      <c r="DO38" s="1">
        <f>IF(DM38="Muy poca importancia",1,IF(DM38="Poca Importancia",2,IF(DM38="Ni Poca/ Ni Mucha",3,IF(DM38="Algo de importancia",4,IF(DM38="Mucha Importancia",5,0)))))</f>
        <v>5</v>
      </c>
      <c r="DP38" s="1">
        <f>IF(DN38="Muy poca importancia",1,IF(DN38="Poca Importancia",2,IF(DN38="Ni Poca/ Ni Mucha",3,IF(DN38="Algo de importancia",4,IF(DN38="Mucha Importancia",5,0)))))</f>
        <v>3</v>
      </c>
      <c r="DQ38" s="1" t="s">
        <v>223</v>
      </c>
      <c r="DR38" s="1" t="s">
        <v>223</v>
      </c>
      <c r="DS38" s="1">
        <f>IF(DQ38="Muy poca importancia",1,IF(DQ38="Poca Importancia",2,IF(DQ38="Ni Poca/ Ni Mucha",3,IF(DQ38="Algo de importancia",4,IF(DQ38="Mucha Importancia",5,0)))))</f>
        <v>5</v>
      </c>
      <c r="DT38" s="1">
        <f>IF(DR38="Muy poca importancia",1,IF(DR38="Poca Importancia",2,IF(DR38="Ni Poca/ Ni Mucha",3,IF(DR38="Algo de importancia",4,IF(DR38="Mucha Importancia",5,0)))))</f>
        <v>5</v>
      </c>
    </row>
    <row r="39" spans="1:256" ht="13.2" hidden="1" x14ac:dyDescent="0.25">
      <c r="A39" s="1" t="s">
        <v>217</v>
      </c>
      <c r="AV39" s="1">
        <v>3</v>
      </c>
      <c r="AW39" s="1">
        <v>5</v>
      </c>
      <c r="AX39" s="1">
        <v>7</v>
      </c>
      <c r="AY39" s="1">
        <v>3</v>
      </c>
      <c r="AZ39" s="1">
        <v>5</v>
      </c>
      <c r="BA39" s="1">
        <v>6</v>
      </c>
      <c r="BB39" s="1">
        <v>2</v>
      </c>
      <c r="BC39" s="1">
        <v>6</v>
      </c>
      <c r="BD39" s="1"/>
      <c r="BE39" s="1">
        <v>3</v>
      </c>
      <c r="BF39" s="1">
        <v>3</v>
      </c>
      <c r="BG39" s="1">
        <v>2</v>
      </c>
      <c r="BH39" s="1">
        <v>1</v>
      </c>
      <c r="BI39" s="1">
        <v>3</v>
      </c>
      <c r="BJ39" s="1">
        <v>6</v>
      </c>
      <c r="BK39" s="1" t="s">
        <v>223</v>
      </c>
      <c r="BL39" s="1" t="s">
        <v>226</v>
      </c>
      <c r="BM39" s="1" t="s">
        <v>224</v>
      </c>
      <c r="BN39" s="1">
        <f>IF(BK39="Muy poca importancia",1,IF(BK39="Poca Importancia",2,IF(BK39="Ni Poca/ Ni Mucha",3,IF(BK39="Algo de importancia",4,IF(BK39="Mucha Importancia",5,0)))))</f>
        <v>5</v>
      </c>
      <c r="BO39" s="1">
        <f t="shared" ref="BO39:BP39" si="32">IF(BL39="Muy poca importancia",1,IF(BL39="Poca Importancia",2,IF(BL39="Ni Poca/ Ni Mucha",3,IF(BL39="Algo de importancia",4,IF(BL39="Mucha Importancia",5,0)))))</f>
        <v>4</v>
      </c>
      <c r="BP39" s="1">
        <f t="shared" si="32"/>
        <v>1</v>
      </c>
      <c r="BQ39" s="1" t="s">
        <v>226</v>
      </c>
      <c r="BR39" s="1" t="s">
        <v>226</v>
      </c>
      <c r="BS39" s="1" t="s">
        <v>224</v>
      </c>
      <c r="BT39" s="1">
        <f>IF(BQ39="Muy poca importancia",1,IF(BQ39="Poca Importancia",2,IF(BQ39="Ni Poca/ Ni Mucha",3,IF(BQ39="Algo de importancia",4,IF(BQ39="Mucha Importancia",5,0)))))</f>
        <v>4</v>
      </c>
      <c r="BU39" s="1">
        <f t="shared" ref="BU39" si="33">IF(BR39="Muy poca importancia",1,IF(BR39="Poca Importancia",2,IF(BR39="Ni Poca/ Ni Mucha",3,IF(BR39="Algo de importancia",4,IF(BR39="Mucha Importancia",5,0)))))</f>
        <v>4</v>
      </c>
      <c r="BV39" s="1">
        <f t="shared" ref="BV39" si="34">IF(BS39="Muy poca importancia",1,IF(BS39="Poca Importancia",2,IF(BS39="Ni Poca/ Ni Mucha",3,IF(BS39="Algo de importancia",4,IF(BS39="Mucha Importancia",5,0)))))</f>
        <v>1</v>
      </c>
      <c r="BW39" s="1" t="s">
        <v>226</v>
      </c>
      <c r="BX39" s="1" t="s">
        <v>223</v>
      </c>
      <c r="BY39" s="1" t="s">
        <v>222</v>
      </c>
      <c r="BZ39" s="1">
        <f>IF(BW39="Muy poca importancia",1,IF(BW39="Poca Importancia",2,IF(BW39="Ni Poca/ Ni Mucha",3,IF(BW39="Algo de importancia",4,IF(BW39="Mucha Importancia",5,0)))))</f>
        <v>4</v>
      </c>
      <c r="CA39" s="1">
        <f t="shared" ref="CA39" si="35">IF(BX39="Muy poca importancia",1,IF(BX39="Poca Importancia",2,IF(BX39="Ni Poca/ Ni Mucha",3,IF(BX39="Algo de importancia",4,IF(BX39="Mucha Importancia",5,0)))))</f>
        <v>5</v>
      </c>
      <c r="CB39" s="1">
        <f t="shared" ref="CB39" si="36">IF(BY39="Muy poca importancia",1,IF(BY39="Poca Importancia",2,IF(BY39="Ni Poca/ Ni Mucha",3,IF(BY39="Algo de importancia",4,IF(BY39="Mucha Importancia",5,0)))))</f>
        <v>3</v>
      </c>
    </row>
    <row r="40" spans="1:256" ht="13.2" x14ac:dyDescent="0.25">
      <c r="A40" s="1" t="s">
        <v>232</v>
      </c>
      <c r="IA40" s="1">
        <v>3</v>
      </c>
      <c r="IB40" s="1">
        <v>5</v>
      </c>
      <c r="IC40" s="1">
        <v>5</v>
      </c>
      <c r="ID40" s="1">
        <v>7</v>
      </c>
      <c r="IE40" s="1">
        <v>4</v>
      </c>
      <c r="IF40" s="1">
        <v>7</v>
      </c>
      <c r="IG40" s="1">
        <v>5</v>
      </c>
      <c r="IH40" s="1">
        <v>2</v>
      </c>
      <c r="II40" s="1">
        <v>5</v>
      </c>
      <c r="IJ40" s="1">
        <v>7</v>
      </c>
      <c r="IK40" s="1" t="s">
        <v>225</v>
      </c>
      <c r="IL40" s="1" t="s">
        <v>225</v>
      </c>
      <c r="IM40" s="1">
        <v>2</v>
      </c>
      <c r="IN40" s="1">
        <v>2</v>
      </c>
      <c r="IO40" s="1" t="s">
        <v>242</v>
      </c>
      <c r="IP40" s="1" t="s">
        <v>223</v>
      </c>
      <c r="IQ40" s="1">
        <v>3</v>
      </c>
      <c r="IR40" s="1">
        <v>5</v>
      </c>
      <c r="IS40" s="1" t="s">
        <v>223</v>
      </c>
      <c r="IT40" s="1" t="s">
        <v>223</v>
      </c>
      <c r="IU40" s="1">
        <v>5</v>
      </c>
      <c r="IV40" s="1">
        <v>5</v>
      </c>
    </row>
    <row r="41" spans="1:256" ht="13.2" hidden="1" x14ac:dyDescent="0.25">
      <c r="A41" s="1" t="s">
        <v>239</v>
      </c>
      <c r="EQ41" s="1">
        <v>2</v>
      </c>
      <c r="ER41" s="1" t="s">
        <v>236</v>
      </c>
      <c r="ES41" s="1">
        <v>3</v>
      </c>
      <c r="ET41" s="1">
        <v>6</v>
      </c>
      <c r="EU41" s="1">
        <v>2</v>
      </c>
      <c r="EV41" s="1">
        <v>6</v>
      </c>
      <c r="EW41" s="1">
        <v>3</v>
      </c>
      <c r="EX41" s="1">
        <v>6</v>
      </c>
      <c r="EY41" s="1">
        <v>2</v>
      </c>
      <c r="EZ41" s="1">
        <v>6</v>
      </c>
      <c r="FA41" s="1" t="s">
        <v>222</v>
      </c>
      <c r="FB41" s="1" t="s">
        <v>225</v>
      </c>
      <c r="FC41" s="1">
        <v>3</v>
      </c>
      <c r="FD41" s="1">
        <v>2</v>
      </c>
      <c r="FE41" s="1" t="s">
        <v>223</v>
      </c>
      <c r="FF41" s="1" t="s">
        <v>224</v>
      </c>
      <c r="FG41" s="1">
        <v>5</v>
      </c>
      <c r="FH41" s="1">
        <v>1</v>
      </c>
      <c r="FI41" s="1" t="s">
        <v>226</v>
      </c>
      <c r="FJ41" s="1" t="s">
        <v>226</v>
      </c>
      <c r="FK41" s="1">
        <v>4</v>
      </c>
      <c r="FL41" s="1">
        <v>4</v>
      </c>
    </row>
    <row r="42" spans="1:256" ht="13.2" hidden="1" x14ac:dyDescent="0.25">
      <c r="A42" s="1" t="s">
        <v>241</v>
      </c>
      <c r="CY42" s="1"/>
      <c r="CZ42" s="1"/>
      <c r="DA42" s="1">
        <v>7</v>
      </c>
      <c r="DB42" s="1">
        <v>7</v>
      </c>
      <c r="DC42" s="1">
        <v>4</v>
      </c>
      <c r="DD42" s="1">
        <v>7</v>
      </c>
      <c r="DE42" s="1">
        <v>6</v>
      </c>
      <c r="DF42" s="1">
        <v>1</v>
      </c>
      <c r="DG42" s="1">
        <v>5</v>
      </c>
      <c r="DH42" s="1">
        <v>7</v>
      </c>
      <c r="DI42" s="1" t="s">
        <v>222</v>
      </c>
      <c r="DJ42" s="1" t="s">
        <v>222</v>
      </c>
      <c r="DK42" s="1">
        <f>IF(DI42="Muy poca importancia",1,IF(DI42="Poca Importancia",2,IF(DI42="Ni Poca/ Ni Mucha",3,IF(DI42="Algo de importancia",4,IF(DI42="Mucha Importancia",5,0)))))</f>
        <v>3</v>
      </c>
      <c r="DL42" s="1">
        <f>IF(DJ42="Muy poca importancia",1,IF(DJ42="Poca Importancia",2,IF(DJ42="Ni Poca/ Ni Mucha",3,IF(DJ42="Algo de importancia",4,IF(DJ42="Mucha Importancia",5,0)))))</f>
        <v>3</v>
      </c>
      <c r="DM42" s="1" t="s">
        <v>223</v>
      </c>
      <c r="DN42" s="1" t="s">
        <v>224</v>
      </c>
      <c r="DO42" s="1">
        <f>IF(DM42="Muy poca importancia",1,IF(DM42="Poca Importancia",2,IF(DM42="Ni Poca/ Ni Mucha",3,IF(DM42="Algo de importancia",4,IF(DM42="Mucha Importancia",5,0)))))</f>
        <v>5</v>
      </c>
      <c r="DP42" s="1">
        <f>IF(DN42="Muy poca importancia",1,IF(DN42="Poca Importancia",2,IF(DN42="Ni Poca/ Ni Mucha",3,IF(DN42="Algo de importancia",4,IF(DN42="Mucha Importancia",5,0)))))</f>
        <v>1</v>
      </c>
      <c r="DQ42" s="1" t="s">
        <v>223</v>
      </c>
      <c r="DR42" s="1" t="s">
        <v>223</v>
      </c>
      <c r="DS42" s="1">
        <f>IF(DQ42="Muy poca importancia",1,IF(DQ42="Poca Importancia",2,IF(DQ42="Ni Poca/ Ni Mucha",3,IF(DQ42="Algo de importancia",4,IF(DQ42="Mucha Importancia",5,0)))))</f>
        <v>5</v>
      </c>
      <c r="DT42" s="1">
        <f>IF(DR42="Muy poca importancia",1,IF(DR42="Poca Importancia",2,IF(DR42="Ni Poca/ Ni Mucha",3,IF(DR42="Algo de importancia",4,IF(DR42="Mucha Importancia",5,0)))))</f>
        <v>5</v>
      </c>
    </row>
    <row r="43" spans="1:256" ht="13.2" hidden="1" x14ac:dyDescent="0.25">
      <c r="A43" s="1" t="s">
        <v>235</v>
      </c>
      <c r="B43" s="1">
        <v>6</v>
      </c>
      <c r="C43" s="1">
        <v>3</v>
      </c>
      <c r="D43" s="1">
        <v>5</v>
      </c>
      <c r="E43" s="1">
        <v>2</v>
      </c>
      <c r="F43" s="1">
        <v>5</v>
      </c>
      <c r="G43" s="1">
        <v>2</v>
      </c>
      <c r="H43" s="1">
        <v>6</v>
      </c>
      <c r="I43" s="1">
        <v>1</v>
      </c>
      <c r="J43" s="1">
        <v>6</v>
      </c>
      <c r="K43" s="1">
        <v>3</v>
      </c>
      <c r="L43" s="1" t="s">
        <v>226</v>
      </c>
      <c r="M43" s="1" t="s">
        <v>226</v>
      </c>
      <c r="N43" s="1">
        <f t="shared" ref="N43:N44" si="37">IF(L43="Muy poca importancia",1,IF(L43="Poca Importancia",2,IF(L43="Ni Poca/ Ni Mucha",3,IF(L43="Algo de importancia",4,IF(L43="Mucha Importancia",5,0)))))</f>
        <v>4</v>
      </c>
      <c r="O43" s="1">
        <f t="shared" ref="O43:O44" si="38">IF(M43="Muy poca importancia",1,IF(M43="Poca Importancia",2,IF(M43="Ni Poca/ Ni Mucha",3,IF(M43="Algo de importancia",4,IF(M43="Mucha Importancia",5,0)))))</f>
        <v>4</v>
      </c>
      <c r="P43" s="1" t="s">
        <v>223</v>
      </c>
      <c r="Q43" s="1" t="s">
        <v>224</v>
      </c>
      <c r="R43" s="1">
        <f t="shared" ref="R43:R44" si="39">IF(P43="Muy poca importancia",1,IF(P43="Poca Importancia",2,IF(P43="Ni Poca/ Ni Mucha",3,IF(P43="Algo de importancia",4,IF(P43="Mucha Importancia",5,0)))))</f>
        <v>5</v>
      </c>
      <c r="S43" s="1">
        <f t="shared" ref="S43:S44" si="40">IF(Q43="Muy poca importancia",1,IF(Q43="Poca Importancia",2,IF(Q43="Ni Poca/ Ni Mucha",3,IF(Q43="Algo de importancia",4,IF(Q43="Mucha Importancia",5,0)))))</f>
        <v>1</v>
      </c>
      <c r="T43" s="1" t="s">
        <v>223</v>
      </c>
      <c r="U43" s="1" t="s">
        <v>224</v>
      </c>
      <c r="V43" s="1">
        <f t="shared" ref="V43:V44" si="41">IF(T43="Muy poca importancia",1,IF(T43="Poca Importancia",2,IF(T43="Ni Poca/ Ni Mucha",3,IF(T43="Algo de importancia",4,IF(T43="Mucha Importancia",5,0)))))</f>
        <v>5</v>
      </c>
      <c r="W43" s="1">
        <f t="shared" ref="W43:W44" si="42">IF(U43="Muy poca importancia",1,IF(U43="Poca Importancia",2,IF(U43="Ni Poca/ Ni Mucha",3,IF(U43="Algo de importancia",4,IF(U43="Mucha Importancia",5,0)))))</f>
        <v>1</v>
      </c>
    </row>
    <row r="44" spans="1:256" ht="13.2" hidden="1" x14ac:dyDescent="0.25">
      <c r="A44" s="1" t="s">
        <v>235</v>
      </c>
      <c r="B44" s="1">
        <v>5</v>
      </c>
      <c r="C44" s="1">
        <v>3</v>
      </c>
      <c r="D44" s="1">
        <v>5</v>
      </c>
      <c r="E44" s="1">
        <v>4</v>
      </c>
      <c r="F44" s="1">
        <v>7</v>
      </c>
      <c r="G44" s="1">
        <v>3</v>
      </c>
      <c r="H44" s="1">
        <v>4</v>
      </c>
      <c r="I44" s="1">
        <v>3</v>
      </c>
      <c r="J44" s="1">
        <v>5</v>
      </c>
      <c r="K44" s="1">
        <v>2</v>
      </c>
      <c r="L44" s="1" t="s">
        <v>224</v>
      </c>
      <c r="M44" s="1" t="s">
        <v>225</v>
      </c>
      <c r="N44" s="1">
        <f t="shared" si="37"/>
        <v>1</v>
      </c>
      <c r="O44" s="1">
        <f t="shared" si="38"/>
        <v>2</v>
      </c>
      <c r="P44" s="1" t="s">
        <v>223</v>
      </c>
      <c r="Q44" s="1" t="s">
        <v>225</v>
      </c>
      <c r="R44" s="1">
        <f t="shared" si="39"/>
        <v>5</v>
      </c>
      <c r="S44" s="1">
        <f t="shared" si="40"/>
        <v>2</v>
      </c>
      <c r="T44" s="1" t="s">
        <v>223</v>
      </c>
      <c r="U44" s="1" t="s">
        <v>223</v>
      </c>
      <c r="V44" s="1">
        <f t="shared" si="41"/>
        <v>5</v>
      </c>
      <c r="W44" s="1">
        <f t="shared" si="42"/>
        <v>5</v>
      </c>
    </row>
    <row r="45" spans="1:256" ht="13.2" hidden="1" x14ac:dyDescent="0.25">
      <c r="A45" s="1" t="s">
        <v>230</v>
      </c>
      <c r="FX45" s="1">
        <v>6</v>
      </c>
      <c r="FY45" s="1">
        <v>6</v>
      </c>
      <c r="FZ45" s="1">
        <v>7</v>
      </c>
      <c r="GA45" s="1">
        <v>6</v>
      </c>
      <c r="GB45" s="1">
        <v>7</v>
      </c>
      <c r="GC45" s="1">
        <v>4</v>
      </c>
      <c r="GD45" s="1">
        <v>3</v>
      </c>
      <c r="GE45" s="1">
        <v>2</v>
      </c>
      <c r="GF45" s="1">
        <v>7</v>
      </c>
      <c r="GG45" s="1">
        <v>6</v>
      </c>
      <c r="GH45" s="1" t="s">
        <v>224</v>
      </c>
      <c r="GI45" s="1" t="s">
        <v>225</v>
      </c>
      <c r="GJ45" s="1">
        <v>1</v>
      </c>
      <c r="GK45" s="1">
        <v>2</v>
      </c>
      <c r="GL45" s="1" t="s">
        <v>226</v>
      </c>
      <c r="GM45" s="1" t="s">
        <v>225</v>
      </c>
      <c r="GN45" s="1">
        <v>4</v>
      </c>
      <c r="GO45" s="1">
        <v>2</v>
      </c>
      <c r="GP45" s="1" t="s">
        <v>226</v>
      </c>
      <c r="GQ45" s="1" t="s">
        <v>225</v>
      </c>
      <c r="GR45" s="1">
        <v>4</v>
      </c>
      <c r="GS45" s="1">
        <v>2</v>
      </c>
    </row>
    <row r="46" spans="1:256" ht="13.2" hidden="1" x14ac:dyDescent="0.25">
      <c r="A46" s="1" t="s">
        <v>229</v>
      </c>
      <c r="CC46" s="1">
        <v>1</v>
      </c>
      <c r="CD46" s="1">
        <v>5</v>
      </c>
      <c r="CE46" s="1">
        <v>6</v>
      </c>
      <c r="CF46" s="1">
        <v>6</v>
      </c>
      <c r="CG46" s="1">
        <v>3</v>
      </c>
      <c r="CH46" s="1">
        <v>7</v>
      </c>
      <c r="CI46" s="1">
        <v>2</v>
      </c>
      <c r="CJ46" s="1">
        <v>6</v>
      </c>
      <c r="CK46" s="1">
        <v>4</v>
      </c>
      <c r="CL46" s="1">
        <v>5</v>
      </c>
      <c r="CM46" s="1" t="s">
        <v>224</v>
      </c>
      <c r="CN46" s="1" t="s">
        <v>226</v>
      </c>
      <c r="CO46" s="1">
        <f t="shared" ref="CO46" si="43">IF(CM46="Muy poca importancia",1,IF(CM46="Poca Importancia",2,IF(CM46="Ni Poca/ Ni Mucha",3,IF(CM46="Algo de importancia",4,IF(CM46="Mucha Importancia",5,0)))))</f>
        <v>1</v>
      </c>
      <c r="CP46" s="1">
        <f t="shared" ref="CP46:CP47" si="44">IF(CN46="Muy poca importancia",1,IF(CN46="Poca Importancia",2,IF(CN46="Ni Poca/ Ni Mucha",3,IF(CN46="Algo de importancia",4,IF(CN46="Mucha Importancia",5,0)))))</f>
        <v>4</v>
      </c>
      <c r="CQ46" s="1" t="s">
        <v>224</v>
      </c>
      <c r="CR46" s="1" t="s">
        <v>223</v>
      </c>
      <c r="CS46" s="1">
        <f t="shared" ref="CS46:CS47" si="45">IF(CQ46="Muy poca importancia",1,IF(CQ46="Poca Importancia",2,IF(CQ46="Ni Poca/ Ni Mucha",3,IF(CQ46="Algo de importancia",4,IF(CQ46="Mucha Importancia",5,0)))))</f>
        <v>1</v>
      </c>
      <c r="CT46" s="1">
        <f t="shared" ref="CT46:CT47" si="46">IF(CR46="Muy poca importancia",1,IF(CR46="Poca Importancia",2,IF(CR46="Ni Poca/ Ni Mucha",3,IF(CR46="Algo de importancia",4,IF(CR46="Mucha Importancia",5,0)))))</f>
        <v>5</v>
      </c>
      <c r="CU46" s="1" t="s">
        <v>224</v>
      </c>
      <c r="CV46" s="1" t="s">
        <v>223</v>
      </c>
      <c r="CW46" s="1">
        <f t="shared" ref="CW46:CW47" si="47">IF(CU46="Muy poca importancia",1,IF(CU46="Poca Importancia",2,IF(CU46="Ni Poca/ Ni Mucha",3,IF(CU46="Algo de importancia",4,IF(CU46="Mucha Importancia",5,0)))))</f>
        <v>1</v>
      </c>
      <c r="CX46" s="1">
        <f t="shared" ref="CX46:CX47" si="48">IF(CV46="Muy poca importancia",1,IF(CV46="Poca Importancia",2,IF(CV46="Ni Poca/ Ni Mucha",3,IF(CV46="Algo de importancia",4,IF(CV46="Mucha Importancia",5,0)))))</f>
        <v>5</v>
      </c>
    </row>
    <row r="47" spans="1:256" ht="13.2" hidden="1" x14ac:dyDescent="0.25">
      <c r="A47" s="1" t="s">
        <v>229</v>
      </c>
      <c r="CC47" s="1">
        <v>3</v>
      </c>
      <c r="CD47" s="1">
        <v>6</v>
      </c>
      <c r="CE47" s="1">
        <v>7</v>
      </c>
      <c r="CF47" s="1">
        <v>7</v>
      </c>
      <c r="CG47" s="1">
        <v>6</v>
      </c>
      <c r="CH47" s="1">
        <v>7</v>
      </c>
      <c r="CI47" s="1">
        <v>5</v>
      </c>
      <c r="CJ47" s="1">
        <v>3</v>
      </c>
      <c r="CK47" s="1">
        <v>4</v>
      </c>
      <c r="CL47" s="1">
        <v>6</v>
      </c>
      <c r="CM47" s="1" t="s">
        <v>231</v>
      </c>
      <c r="CN47" s="1" t="s">
        <v>222</v>
      </c>
      <c r="CO47" s="1"/>
      <c r="CP47" s="1">
        <f t="shared" si="44"/>
        <v>3</v>
      </c>
      <c r="CQ47" s="1" t="s">
        <v>226</v>
      </c>
      <c r="CR47" s="1" t="s">
        <v>225</v>
      </c>
      <c r="CS47" s="1">
        <f t="shared" si="45"/>
        <v>4</v>
      </c>
      <c r="CT47" s="1">
        <f t="shared" si="46"/>
        <v>2</v>
      </c>
      <c r="CU47" s="1" t="s">
        <v>226</v>
      </c>
      <c r="CV47" s="1" t="s">
        <v>223</v>
      </c>
      <c r="CW47" s="1">
        <f t="shared" si="47"/>
        <v>4</v>
      </c>
      <c r="CX47" s="1">
        <f t="shared" si="48"/>
        <v>5</v>
      </c>
    </row>
    <row r="48" spans="1:256" ht="13.2" x14ac:dyDescent="0.25">
      <c r="A48" s="1" t="s">
        <v>232</v>
      </c>
      <c r="IA48" s="1">
        <v>3</v>
      </c>
      <c r="IB48" s="1">
        <v>5</v>
      </c>
      <c r="IC48" s="1">
        <v>3</v>
      </c>
      <c r="ID48" s="1">
        <v>5</v>
      </c>
      <c r="IE48" s="1">
        <v>4</v>
      </c>
      <c r="IF48" s="1">
        <v>6</v>
      </c>
      <c r="IG48" s="1">
        <v>2</v>
      </c>
      <c r="IH48" s="1">
        <v>4</v>
      </c>
      <c r="II48" s="1">
        <v>3</v>
      </c>
      <c r="IJ48" s="1">
        <v>6</v>
      </c>
      <c r="IK48" s="1" t="s">
        <v>223</v>
      </c>
      <c r="IL48" s="1" t="s">
        <v>223</v>
      </c>
      <c r="IM48" s="1">
        <v>5</v>
      </c>
      <c r="IN48" s="1">
        <v>5</v>
      </c>
      <c r="IO48" s="1" t="s">
        <v>226</v>
      </c>
      <c r="IP48" s="1" t="s">
        <v>223</v>
      </c>
      <c r="IQ48" s="1">
        <v>4</v>
      </c>
      <c r="IR48" s="1">
        <v>5</v>
      </c>
      <c r="IS48" s="1" t="s">
        <v>242</v>
      </c>
      <c r="IT48" s="1" t="s">
        <v>223</v>
      </c>
      <c r="IU48" s="1">
        <v>3</v>
      </c>
      <c r="IV48" s="1">
        <v>5</v>
      </c>
    </row>
    <row r="49" spans="1:286" ht="13.2" hidden="1" x14ac:dyDescent="0.25">
      <c r="A49" s="1" t="s">
        <v>229</v>
      </c>
      <c r="CC49" s="1">
        <v>3</v>
      </c>
      <c r="CD49" s="1">
        <v>5</v>
      </c>
      <c r="CE49" s="1">
        <v>6</v>
      </c>
      <c r="CF49" s="1">
        <v>7</v>
      </c>
      <c r="CG49" s="1">
        <v>4</v>
      </c>
      <c r="CH49" s="1">
        <v>7</v>
      </c>
      <c r="CI49" s="1">
        <v>4</v>
      </c>
      <c r="CJ49" s="1">
        <v>5</v>
      </c>
      <c r="CK49" s="1">
        <v>5</v>
      </c>
      <c r="CL49" s="1">
        <v>7</v>
      </c>
      <c r="CM49" s="1" t="s">
        <v>223</v>
      </c>
      <c r="CN49" s="1" t="s">
        <v>226</v>
      </c>
      <c r="CO49" s="1">
        <f>IF(CM49="Muy poca importancia",1,IF(CM49="Poca Importancia",2,IF(CM49="Ni Poca/ Ni Mucha",3,IF(CM49="Algo de importancia",4,IF(CM49="Mucha Importancia",5,0)))))</f>
        <v>5</v>
      </c>
      <c r="CP49" s="1">
        <f>IF(CN49="Muy poca importancia",1,IF(CN49="Poca Importancia",2,IF(CN49="Ni Poca/ Ni Mucha",3,IF(CN49="Algo de importancia",4,IF(CN49="Mucha Importancia",5,0)))))</f>
        <v>4</v>
      </c>
      <c r="CQ49" s="1" t="s">
        <v>223</v>
      </c>
      <c r="CR49" s="1" t="s">
        <v>223</v>
      </c>
      <c r="CS49" s="1">
        <f>IF(CQ49="Muy poca importancia",1,IF(CQ49="Poca Importancia",2,IF(CQ49="Ni Poca/ Ni Mucha",3,IF(CQ49="Algo de importancia",4,IF(CQ49="Mucha Importancia",5,0)))))</f>
        <v>5</v>
      </c>
      <c r="CT49" s="1">
        <f>IF(CR49="Muy poca importancia",1,IF(CR49="Poca Importancia",2,IF(CR49="Ni Poca/ Ni Mucha",3,IF(CR49="Algo de importancia",4,IF(CR49="Mucha Importancia",5,0)))))</f>
        <v>5</v>
      </c>
      <c r="CU49" s="1" t="s">
        <v>223</v>
      </c>
      <c r="CV49" s="1" t="s">
        <v>223</v>
      </c>
      <c r="CW49" s="1">
        <f>IF(CU49="Muy poca importancia",1,IF(CU49="Poca Importancia",2,IF(CU49="Ni Poca/ Ni Mucha",3,IF(CU49="Algo de importancia",4,IF(CU49="Mucha Importancia",5,0)))))</f>
        <v>5</v>
      </c>
      <c r="CX49" s="1">
        <f>IF(CV49="Muy poca importancia",1,IF(CV49="Poca Importancia",2,IF(CV49="Ni Poca/ Ni Mucha",3,IF(CV49="Algo de importancia",4,IF(CV49="Mucha Importancia",5,0)))))</f>
        <v>5</v>
      </c>
    </row>
    <row r="50" spans="1:286" ht="13.2" hidden="1" x14ac:dyDescent="0.25">
      <c r="A50" s="1" t="s">
        <v>217</v>
      </c>
      <c r="AV50" s="1">
        <v>3</v>
      </c>
      <c r="AW50" s="1">
        <v>5</v>
      </c>
      <c r="AX50" s="1">
        <v>7</v>
      </c>
      <c r="AY50" s="1">
        <v>3</v>
      </c>
      <c r="AZ50" s="1">
        <v>5</v>
      </c>
      <c r="BA50" s="1">
        <v>5</v>
      </c>
      <c r="BB50" s="1">
        <v>2</v>
      </c>
      <c r="BC50" s="1">
        <v>6</v>
      </c>
      <c r="BD50" s="1">
        <v>7</v>
      </c>
      <c r="BE50" s="1">
        <v>4</v>
      </c>
      <c r="BF50" s="1">
        <v>6</v>
      </c>
      <c r="BG50" s="1">
        <v>1</v>
      </c>
      <c r="BH50" s="1">
        <v>3</v>
      </c>
      <c r="BI50" s="1">
        <v>5</v>
      </c>
      <c r="BJ50" s="1">
        <v>7</v>
      </c>
      <c r="BK50" s="1" t="s">
        <v>226</v>
      </c>
      <c r="BL50" s="1" t="s">
        <v>225</v>
      </c>
      <c r="BM50" s="1" t="s">
        <v>223</v>
      </c>
      <c r="BN50" s="1">
        <f>IF(BK50="Muy poca importancia",1,IF(BK50="Poca Importancia",2,IF(BK50="Ni Poca/ Ni Mucha",3,IF(BK50="Algo de importancia",4,IF(BK50="Mucha Importancia",5,0)))))</f>
        <v>4</v>
      </c>
      <c r="BO50" s="1">
        <f t="shared" ref="BO50:BP50" si="49">IF(BL50="Muy poca importancia",1,IF(BL50="Poca Importancia",2,IF(BL50="Ni Poca/ Ni Mucha",3,IF(BL50="Algo de importancia",4,IF(BL50="Mucha Importancia",5,0)))))</f>
        <v>2</v>
      </c>
      <c r="BP50" s="1">
        <f t="shared" si="49"/>
        <v>5</v>
      </c>
      <c r="BQ50" s="1" t="s">
        <v>222</v>
      </c>
      <c r="BR50" s="1" t="s">
        <v>225</v>
      </c>
      <c r="BS50" s="1" t="s">
        <v>224</v>
      </c>
      <c r="BT50" s="1">
        <f>IF(BQ50="Muy poca importancia",1,IF(BQ50="Poca Importancia",2,IF(BQ50="Ni Poca/ Ni Mucha",3,IF(BQ50="Algo de importancia",4,IF(BQ50="Mucha Importancia",5,0)))))</f>
        <v>3</v>
      </c>
      <c r="BU50" s="1">
        <f t="shared" ref="BU50" si="50">IF(BR50="Muy poca importancia",1,IF(BR50="Poca Importancia",2,IF(BR50="Ni Poca/ Ni Mucha",3,IF(BR50="Algo de importancia",4,IF(BR50="Mucha Importancia",5,0)))))</f>
        <v>2</v>
      </c>
      <c r="BV50" s="1">
        <f t="shared" ref="BV50" si="51">IF(BS50="Muy poca importancia",1,IF(BS50="Poca Importancia",2,IF(BS50="Ni Poca/ Ni Mucha",3,IF(BS50="Algo de importancia",4,IF(BS50="Mucha Importancia",5,0)))))</f>
        <v>1</v>
      </c>
      <c r="BW50" s="1" t="s">
        <v>226</v>
      </c>
      <c r="BX50" s="1" t="s">
        <v>226</v>
      </c>
      <c r="BY50" s="1" t="s">
        <v>225</v>
      </c>
      <c r="BZ50" s="1">
        <f>IF(BW50="Muy poca importancia",1,IF(BW50="Poca Importancia",2,IF(BW50="Ni Poca/ Ni Mucha",3,IF(BW50="Algo de importancia",4,IF(BW50="Mucha Importancia",5,0)))))</f>
        <v>4</v>
      </c>
      <c r="CA50" s="1">
        <f t="shared" ref="CA50" si="52">IF(BX50="Muy poca importancia",1,IF(BX50="Poca Importancia",2,IF(BX50="Ni Poca/ Ni Mucha",3,IF(BX50="Algo de importancia",4,IF(BX50="Mucha Importancia",5,0)))))</f>
        <v>4</v>
      </c>
      <c r="CB50" s="1">
        <f t="shared" ref="CB50" si="53">IF(BY50="Muy poca importancia",1,IF(BY50="Poca Importancia",2,IF(BY50="Ni Poca/ Ni Mucha",3,IF(BY50="Algo de importancia",4,IF(BY50="Mucha Importancia",5,0)))))</f>
        <v>2</v>
      </c>
    </row>
    <row r="51" spans="1:286" ht="13.2" hidden="1" x14ac:dyDescent="0.25">
      <c r="A51" s="1" t="s">
        <v>240</v>
      </c>
      <c r="DU51" s="1">
        <v>4</v>
      </c>
      <c r="DV51" s="1">
        <v>3</v>
      </c>
      <c r="DW51" s="1">
        <v>3</v>
      </c>
      <c r="DX51" s="1">
        <v>3</v>
      </c>
      <c r="DY51" s="1">
        <v>6</v>
      </c>
      <c r="DZ51" s="1">
        <v>6</v>
      </c>
      <c r="EA51" s="1">
        <v>3</v>
      </c>
      <c r="EB51" s="1">
        <v>3</v>
      </c>
      <c r="EC51" s="1">
        <v>3</v>
      </c>
      <c r="ED51" s="1">
        <v>4</v>
      </c>
      <c r="EE51" s="1" t="s">
        <v>226</v>
      </c>
      <c r="EF51" s="1" t="s">
        <v>222</v>
      </c>
      <c r="EG51" s="1">
        <v>4</v>
      </c>
      <c r="EH51" s="1">
        <v>3</v>
      </c>
      <c r="EI51" s="1" t="s">
        <v>226</v>
      </c>
      <c r="EJ51" s="1" t="s">
        <v>226</v>
      </c>
      <c r="EK51" s="1">
        <v>4</v>
      </c>
      <c r="EL51" s="1">
        <v>4</v>
      </c>
      <c r="EM51" s="1" t="s">
        <v>223</v>
      </c>
      <c r="EN51" s="1" t="s">
        <v>223</v>
      </c>
      <c r="EO51" s="1">
        <v>5</v>
      </c>
      <c r="EP51" s="1">
        <v>5</v>
      </c>
    </row>
    <row r="52" spans="1:286" ht="13.2" hidden="1" x14ac:dyDescent="0.25">
      <c r="A52" s="1" t="s">
        <v>217</v>
      </c>
      <c r="AV52" s="1">
        <v>2</v>
      </c>
      <c r="AW52" s="1">
        <v>5</v>
      </c>
      <c r="AX52" s="1">
        <v>7</v>
      </c>
      <c r="AY52" s="1">
        <v>3</v>
      </c>
      <c r="AZ52" s="1">
        <v>4</v>
      </c>
      <c r="BA52" s="1">
        <v>3</v>
      </c>
      <c r="BB52" s="1">
        <v>2</v>
      </c>
      <c r="BC52" s="1">
        <v>5</v>
      </c>
      <c r="BD52" s="1">
        <v>6</v>
      </c>
      <c r="BE52" s="1">
        <v>3</v>
      </c>
      <c r="BF52" s="1">
        <v>6</v>
      </c>
      <c r="BG52" s="1">
        <v>1</v>
      </c>
      <c r="BH52" s="1">
        <v>3</v>
      </c>
      <c r="BI52" s="1">
        <v>4</v>
      </c>
      <c r="BJ52" s="1">
        <v>6</v>
      </c>
      <c r="BK52" s="1" t="s">
        <v>223</v>
      </c>
      <c r="BL52" s="1" t="s">
        <v>226</v>
      </c>
      <c r="BM52" s="1" t="s">
        <v>224</v>
      </c>
      <c r="BN52" s="1">
        <f>IF(BK52="Muy poca importancia",1,IF(BK52="Poca Importancia",2,IF(BK52="Ni Poca/ Ni Mucha",3,IF(BK52="Algo de importancia",4,IF(BK52="Mucha Importancia",5,0)))))</f>
        <v>5</v>
      </c>
      <c r="BO52" s="1">
        <f t="shared" ref="BO52:BP52" si="54">IF(BL52="Muy poca importancia",1,IF(BL52="Poca Importancia",2,IF(BL52="Ni Poca/ Ni Mucha",3,IF(BL52="Algo de importancia",4,IF(BL52="Mucha Importancia",5,0)))))</f>
        <v>4</v>
      </c>
      <c r="BP52" s="1">
        <f t="shared" si="54"/>
        <v>1</v>
      </c>
      <c r="BQ52" s="1" t="s">
        <v>225</v>
      </c>
      <c r="BR52" s="1" t="s">
        <v>222</v>
      </c>
      <c r="BS52" s="1" t="s">
        <v>224</v>
      </c>
      <c r="BT52" s="1">
        <f>IF(BQ52="Muy poca importancia",1,IF(BQ52="Poca Importancia",2,IF(BQ52="Ni Poca/ Ni Mucha",3,IF(BQ52="Algo de importancia",4,IF(BQ52="Mucha Importancia",5,0)))))</f>
        <v>2</v>
      </c>
      <c r="BU52" s="1">
        <f t="shared" ref="BU52" si="55">IF(BR52="Muy poca importancia",1,IF(BR52="Poca Importancia",2,IF(BR52="Ni Poca/ Ni Mucha",3,IF(BR52="Algo de importancia",4,IF(BR52="Mucha Importancia",5,0)))))</f>
        <v>3</v>
      </c>
      <c r="BV52" s="1">
        <f t="shared" ref="BV52" si="56">IF(BS52="Muy poca importancia",1,IF(BS52="Poca Importancia",2,IF(BS52="Ni Poca/ Ni Mucha",3,IF(BS52="Algo de importancia",4,IF(BS52="Mucha Importancia",5,0)))))</f>
        <v>1</v>
      </c>
      <c r="BW52" s="1" t="s">
        <v>226</v>
      </c>
      <c r="BX52" s="1" t="s">
        <v>226</v>
      </c>
      <c r="BY52" s="1" t="s">
        <v>224</v>
      </c>
      <c r="BZ52" s="1">
        <f>IF(BW52="Muy poca importancia",1,IF(BW52="Poca Importancia",2,IF(BW52="Ni Poca/ Ni Mucha",3,IF(BW52="Algo de importancia",4,IF(BW52="Mucha Importancia",5,0)))))</f>
        <v>4</v>
      </c>
      <c r="CA52" s="1">
        <f t="shared" ref="CA52" si="57">IF(BX52="Muy poca importancia",1,IF(BX52="Poca Importancia",2,IF(BX52="Ni Poca/ Ni Mucha",3,IF(BX52="Algo de importancia",4,IF(BX52="Mucha Importancia",5,0)))))</f>
        <v>4</v>
      </c>
      <c r="CB52" s="1">
        <f t="shared" ref="CB52" si="58">IF(BY52="Muy poca importancia",1,IF(BY52="Poca Importancia",2,IF(BY52="Ni Poca/ Ni Mucha",3,IF(BY52="Algo de importancia",4,IF(BY52="Mucha Importancia",5,0)))))</f>
        <v>1</v>
      </c>
    </row>
    <row r="53" spans="1:286" ht="13.2" hidden="1" x14ac:dyDescent="0.25">
      <c r="A53" s="1" t="s">
        <v>227</v>
      </c>
      <c r="FM53" s="1">
        <v>5</v>
      </c>
      <c r="FN53" s="1">
        <v>5</v>
      </c>
      <c r="FO53" s="1">
        <v>6</v>
      </c>
      <c r="FP53" s="1">
        <v>5</v>
      </c>
      <c r="FQ53" s="1">
        <v>5</v>
      </c>
      <c r="FR53" s="1" t="s">
        <v>224</v>
      </c>
      <c r="FS53" s="1">
        <v>1</v>
      </c>
      <c r="FT53" s="1" t="s">
        <v>225</v>
      </c>
      <c r="FU53" s="1">
        <v>2</v>
      </c>
      <c r="FV53" s="1" t="s">
        <v>225</v>
      </c>
      <c r="FW53" s="1">
        <v>2</v>
      </c>
      <c r="JQ53" s="1" t="s">
        <v>218</v>
      </c>
      <c r="JR53" s="1" t="s">
        <v>219</v>
      </c>
      <c r="JS53" s="1" t="s">
        <v>220</v>
      </c>
      <c r="JT53" s="1" t="s">
        <v>228</v>
      </c>
      <c r="JU53" s="1" t="s">
        <v>221</v>
      </c>
      <c r="JV53" s="1" t="s">
        <v>226</v>
      </c>
      <c r="JW53" s="1" t="s">
        <v>223</v>
      </c>
      <c r="JX53" s="1" t="s">
        <v>223</v>
      </c>
      <c r="JY53" s="1"/>
      <c r="JZ53" s="1"/>
    </row>
    <row r="54" spans="1:286" ht="13.2" hidden="1" x14ac:dyDescent="0.25">
      <c r="A54" s="1" t="s">
        <v>229</v>
      </c>
      <c r="CC54" s="1">
        <v>5</v>
      </c>
      <c r="CD54" s="1">
        <v>7</v>
      </c>
      <c r="CE54" s="1">
        <v>7</v>
      </c>
      <c r="CF54" s="1">
        <v>7</v>
      </c>
      <c r="CG54" s="1">
        <v>6</v>
      </c>
      <c r="CH54" s="1">
        <v>7</v>
      </c>
      <c r="CI54" s="1">
        <v>5</v>
      </c>
      <c r="CJ54" s="1">
        <v>6</v>
      </c>
      <c r="CK54" s="1">
        <v>5</v>
      </c>
      <c r="CL54" s="1">
        <v>5</v>
      </c>
      <c r="CM54" s="1" t="s">
        <v>223</v>
      </c>
      <c r="CN54" s="1" t="s">
        <v>223</v>
      </c>
      <c r="CO54" s="1">
        <f>IF(CM54="Muy poca importancia",1,IF(CM54="Poca Importancia",2,IF(CM54="Ni Poca/ Ni Mucha",3,IF(CM54="Algo de importancia",4,IF(CM54="Mucha Importancia",5,0)))))</f>
        <v>5</v>
      </c>
      <c r="CP54" s="1">
        <f>IF(CN54="Muy poca importancia",1,IF(CN54="Poca Importancia",2,IF(CN54="Ni Poca/ Ni Mucha",3,IF(CN54="Algo de importancia",4,IF(CN54="Mucha Importancia",5,0)))))</f>
        <v>5</v>
      </c>
      <c r="CQ54" s="1" t="s">
        <v>223</v>
      </c>
      <c r="CR54" s="1" t="s">
        <v>223</v>
      </c>
      <c r="CS54" s="1">
        <f>IF(CQ54="Muy poca importancia",1,IF(CQ54="Poca Importancia",2,IF(CQ54="Ni Poca/ Ni Mucha",3,IF(CQ54="Algo de importancia",4,IF(CQ54="Mucha Importancia",5,0)))))</f>
        <v>5</v>
      </c>
      <c r="CT54" s="1">
        <f>IF(CR54="Muy poca importancia",1,IF(CR54="Poca Importancia",2,IF(CR54="Ni Poca/ Ni Mucha",3,IF(CR54="Algo de importancia",4,IF(CR54="Mucha Importancia",5,0)))))</f>
        <v>5</v>
      </c>
      <c r="CU54" s="1" t="s">
        <v>223</v>
      </c>
      <c r="CV54" s="1" t="s">
        <v>223</v>
      </c>
      <c r="CW54" s="1">
        <f>IF(CU54="Muy poca importancia",1,IF(CU54="Poca Importancia",2,IF(CU54="Ni Poca/ Ni Mucha",3,IF(CU54="Algo de importancia",4,IF(CU54="Mucha Importancia",5,0)))))</f>
        <v>5</v>
      </c>
      <c r="CX54" s="1">
        <f>IF(CV54="Muy poca importancia",1,IF(CV54="Poca Importancia",2,IF(CV54="Ni Poca/ Ni Mucha",3,IF(CV54="Algo de importancia",4,IF(CV54="Mucha Importancia",5,0)))))</f>
        <v>5</v>
      </c>
    </row>
    <row r="55" spans="1:286" ht="13.2" hidden="1" x14ac:dyDescent="0.25">
      <c r="A55" s="1" t="s">
        <v>239</v>
      </c>
      <c r="EQ55" s="1">
        <v>3</v>
      </c>
      <c r="ER55" s="1" t="s">
        <v>236</v>
      </c>
      <c r="ES55" s="1">
        <v>5</v>
      </c>
      <c r="ET55" s="1"/>
      <c r="EU55" s="1">
        <v>5</v>
      </c>
      <c r="EV55" s="1">
        <v>7</v>
      </c>
      <c r="EW55" s="1">
        <v>4</v>
      </c>
      <c r="EX55" s="1">
        <v>4</v>
      </c>
      <c r="EY55" s="1">
        <v>5</v>
      </c>
      <c r="EZ55" s="1">
        <v>7</v>
      </c>
      <c r="FA55" s="1" t="s">
        <v>224</v>
      </c>
      <c r="FB55" s="1" t="s">
        <v>226</v>
      </c>
      <c r="FC55" s="1">
        <v>1</v>
      </c>
      <c r="FD55" s="1">
        <v>4</v>
      </c>
      <c r="FE55" s="1" t="s">
        <v>223</v>
      </c>
      <c r="FF55" s="1" t="s">
        <v>223</v>
      </c>
      <c r="FG55" s="1">
        <v>5</v>
      </c>
      <c r="FH55" s="1">
        <v>5</v>
      </c>
      <c r="FI55" s="1" t="s">
        <v>224</v>
      </c>
      <c r="FJ55" s="1" t="s">
        <v>224</v>
      </c>
      <c r="FK55" s="1">
        <v>1</v>
      </c>
      <c r="FL55" s="1">
        <v>1</v>
      </c>
    </row>
    <row r="56" spans="1:286" ht="13.2" hidden="1" x14ac:dyDescent="0.25">
      <c r="A56" s="1" t="s">
        <v>217</v>
      </c>
      <c r="AV56" s="1">
        <v>3</v>
      </c>
      <c r="AW56" s="1">
        <v>6</v>
      </c>
      <c r="AX56" s="1"/>
      <c r="AY56" s="1">
        <v>5</v>
      </c>
      <c r="AZ56" s="1">
        <v>6</v>
      </c>
      <c r="BA56" s="1">
        <v>5</v>
      </c>
      <c r="BB56" s="1">
        <v>5</v>
      </c>
      <c r="BC56" s="1">
        <v>6</v>
      </c>
      <c r="BD56" s="1">
        <v>7</v>
      </c>
      <c r="BE56" s="1">
        <v>5</v>
      </c>
      <c r="BF56" s="1">
        <v>6</v>
      </c>
      <c r="BG56" s="1">
        <v>5</v>
      </c>
      <c r="BH56" s="1">
        <v>4</v>
      </c>
      <c r="BI56" s="1">
        <v>6</v>
      </c>
      <c r="BJ56" s="1">
        <v>7</v>
      </c>
      <c r="BK56" s="1" t="s">
        <v>226</v>
      </c>
      <c r="BL56" s="1" t="s">
        <v>226</v>
      </c>
      <c r="BM56" s="1" t="s">
        <v>226</v>
      </c>
      <c r="BN56" s="1">
        <f>IF(BK56="Muy poca importancia",1,IF(BK56="Poca Importancia",2,IF(BK56="Ni Poca/ Ni Mucha",3,IF(BK56="Algo de importancia",4,IF(BK56="Mucha Importancia",5,0)))))</f>
        <v>4</v>
      </c>
      <c r="BO56" s="1">
        <f t="shared" ref="BO56:BP56" si="59">IF(BL56="Muy poca importancia",1,IF(BL56="Poca Importancia",2,IF(BL56="Ni Poca/ Ni Mucha",3,IF(BL56="Algo de importancia",4,IF(BL56="Mucha Importancia",5,0)))))</f>
        <v>4</v>
      </c>
      <c r="BP56" s="1">
        <f t="shared" si="59"/>
        <v>4</v>
      </c>
      <c r="BQ56" s="1" t="s">
        <v>222</v>
      </c>
      <c r="BR56" s="1" t="s">
        <v>226</v>
      </c>
      <c r="BS56" s="1" t="s">
        <v>222</v>
      </c>
      <c r="BT56" s="1">
        <f>IF(BQ56="Muy poca importancia",1,IF(BQ56="Poca Importancia",2,IF(BQ56="Ni Poca/ Ni Mucha",3,IF(BQ56="Algo de importancia",4,IF(BQ56="Mucha Importancia",5,0)))))</f>
        <v>3</v>
      </c>
      <c r="BU56" s="1">
        <f t="shared" ref="BU56" si="60">IF(BR56="Muy poca importancia",1,IF(BR56="Poca Importancia",2,IF(BR56="Ni Poca/ Ni Mucha",3,IF(BR56="Algo de importancia",4,IF(BR56="Mucha Importancia",5,0)))))</f>
        <v>4</v>
      </c>
      <c r="BV56" s="1">
        <f t="shared" ref="BV56" si="61">IF(BS56="Muy poca importancia",1,IF(BS56="Poca Importancia",2,IF(BS56="Ni Poca/ Ni Mucha",3,IF(BS56="Algo de importancia",4,IF(BS56="Mucha Importancia",5,0)))))</f>
        <v>3</v>
      </c>
      <c r="BW56" s="1" t="s">
        <v>226</v>
      </c>
      <c r="BX56" s="1" t="s">
        <v>223</v>
      </c>
      <c r="BY56" s="1" t="s">
        <v>226</v>
      </c>
      <c r="BZ56" s="1">
        <f>IF(BW56="Muy poca importancia",1,IF(BW56="Poca Importancia",2,IF(BW56="Ni Poca/ Ni Mucha",3,IF(BW56="Algo de importancia",4,IF(BW56="Mucha Importancia",5,0)))))</f>
        <v>4</v>
      </c>
      <c r="CA56" s="1">
        <f t="shared" ref="CA56" si="62">IF(BX56="Muy poca importancia",1,IF(BX56="Poca Importancia",2,IF(BX56="Ni Poca/ Ni Mucha",3,IF(BX56="Algo de importancia",4,IF(BX56="Mucha Importancia",5,0)))))</f>
        <v>5</v>
      </c>
      <c r="CB56" s="1">
        <f t="shared" ref="CB56" si="63">IF(BY56="Muy poca importancia",1,IF(BY56="Poca Importancia",2,IF(BY56="Ni Poca/ Ni Mucha",3,IF(BY56="Algo de importancia",4,IF(BY56="Mucha Importancia",5,0)))))</f>
        <v>4</v>
      </c>
    </row>
    <row r="57" spans="1:286" ht="13.2" hidden="1" x14ac:dyDescent="0.25">
      <c r="A57" s="1" t="s">
        <v>227</v>
      </c>
      <c r="FM57" s="1">
        <v>1</v>
      </c>
      <c r="FN57" s="1">
        <v>1</v>
      </c>
      <c r="FO57" s="1">
        <v>1</v>
      </c>
      <c r="FP57" s="1">
        <v>1</v>
      </c>
      <c r="FQ57" s="1">
        <v>1</v>
      </c>
      <c r="FR57" s="1" t="s">
        <v>224</v>
      </c>
      <c r="FS57" s="1">
        <v>1</v>
      </c>
      <c r="FT57" s="1" t="s">
        <v>224</v>
      </c>
      <c r="FU57" s="1">
        <v>1</v>
      </c>
      <c r="FV57" s="1" t="s">
        <v>224</v>
      </c>
      <c r="FW57" s="1">
        <v>1</v>
      </c>
      <c r="JQ57" s="1" t="s">
        <v>218</v>
      </c>
      <c r="JR57" s="1">
        <v>5</v>
      </c>
      <c r="JS57" s="1" t="s">
        <v>220</v>
      </c>
      <c r="JT57" s="1" t="s">
        <v>228</v>
      </c>
      <c r="JU57" s="1">
        <v>5</v>
      </c>
      <c r="JV57" s="1" t="s">
        <v>223</v>
      </c>
      <c r="JW57" s="1" t="s">
        <v>223</v>
      </c>
      <c r="JX57" s="1" t="s">
        <v>223</v>
      </c>
      <c r="JY57" s="1"/>
      <c r="JZ57" s="1"/>
    </row>
    <row r="58" spans="1:286" ht="13.2" hidden="1" x14ac:dyDescent="0.25">
      <c r="A58" s="1" t="s">
        <v>227</v>
      </c>
      <c r="FM58" s="1">
        <v>5</v>
      </c>
      <c r="FN58" s="1">
        <v>3</v>
      </c>
      <c r="FO58" s="1">
        <v>7</v>
      </c>
      <c r="FP58" s="1">
        <v>6</v>
      </c>
      <c r="FQ58" s="1">
        <v>3</v>
      </c>
      <c r="FR58" s="1" t="s">
        <v>222</v>
      </c>
      <c r="FS58" s="1">
        <v>3</v>
      </c>
      <c r="FT58" s="1" t="s">
        <v>225</v>
      </c>
      <c r="FU58" s="1">
        <v>2</v>
      </c>
      <c r="FV58" s="1" t="s">
        <v>225</v>
      </c>
      <c r="FW58" s="1">
        <v>2</v>
      </c>
      <c r="JQ58" s="1">
        <v>5</v>
      </c>
      <c r="JR58" s="1" t="s">
        <v>219</v>
      </c>
      <c r="JS58" s="1">
        <v>6</v>
      </c>
      <c r="JT58" s="1">
        <v>6</v>
      </c>
      <c r="JU58" s="1">
        <v>6</v>
      </c>
      <c r="JV58" s="1" t="s">
        <v>226</v>
      </c>
      <c r="JW58" s="1" t="s">
        <v>226</v>
      </c>
      <c r="JX58" s="1" t="s">
        <v>226</v>
      </c>
      <c r="JY58" s="1"/>
      <c r="JZ58" s="1"/>
    </row>
    <row r="59" spans="1:286" ht="13.2" hidden="1" x14ac:dyDescent="0.25">
      <c r="A59" s="1" t="s">
        <v>233</v>
      </c>
      <c r="IW59" s="1">
        <v>2</v>
      </c>
      <c r="IX59" s="1">
        <v>3</v>
      </c>
      <c r="IY59" s="1">
        <v>5</v>
      </c>
      <c r="IZ59" s="1">
        <v>4</v>
      </c>
      <c r="JA59" s="1">
        <v>3</v>
      </c>
      <c r="JB59" s="1">
        <v>2</v>
      </c>
      <c r="JC59" s="1">
        <v>4</v>
      </c>
      <c r="JD59" s="1">
        <v>4</v>
      </c>
      <c r="JE59" s="1">
        <v>2</v>
      </c>
      <c r="JF59" s="1">
        <v>3</v>
      </c>
      <c r="JG59" s="1" t="s">
        <v>222</v>
      </c>
      <c r="JH59" s="1" t="s">
        <v>222</v>
      </c>
      <c r="JI59" s="1" t="s">
        <v>222</v>
      </c>
      <c r="JJ59" s="1" t="s">
        <v>222</v>
      </c>
      <c r="JK59" s="1">
        <v>3</v>
      </c>
      <c r="JL59" s="1">
        <v>3</v>
      </c>
      <c r="JM59" s="1" t="s">
        <v>223</v>
      </c>
      <c r="JN59" s="1" t="s">
        <v>223</v>
      </c>
      <c r="JO59" s="1">
        <v>5</v>
      </c>
      <c r="JP59" s="1">
        <v>5</v>
      </c>
    </row>
    <row r="60" spans="1:286" ht="13.2" hidden="1" x14ac:dyDescent="0.25">
      <c r="A60" s="1" t="s">
        <v>229</v>
      </c>
      <c r="CC60" s="1">
        <v>2</v>
      </c>
      <c r="CD60" s="1">
        <v>6</v>
      </c>
      <c r="CE60" s="1">
        <v>4</v>
      </c>
      <c r="CF60" s="1">
        <v>6</v>
      </c>
      <c r="CG60" s="1">
        <v>3</v>
      </c>
      <c r="CH60" s="1">
        <v>6</v>
      </c>
      <c r="CI60" s="1">
        <v>1</v>
      </c>
      <c r="CJ60" s="1">
        <v>6</v>
      </c>
      <c r="CK60" s="1">
        <v>5</v>
      </c>
      <c r="CL60" s="1">
        <v>6</v>
      </c>
      <c r="CM60" s="1" t="s">
        <v>224</v>
      </c>
      <c r="CN60" s="1" t="s">
        <v>223</v>
      </c>
      <c r="CO60" s="1">
        <f>IF(CM60="Muy poca importancia",1,IF(CM60="Poca Importancia",2,IF(CM60="Ni Poca/ Ni Mucha",3,IF(CM60="Algo de importancia",4,IF(CM60="Mucha Importancia",5,0)))))</f>
        <v>1</v>
      </c>
      <c r="CP60" s="1">
        <f>IF(CN60="Muy poca importancia",1,IF(CN60="Poca Importancia",2,IF(CN60="Ni Poca/ Ni Mucha",3,IF(CN60="Algo de importancia",4,IF(CN60="Mucha Importancia",5,0)))))</f>
        <v>5</v>
      </c>
      <c r="CQ60" s="1" t="s">
        <v>224</v>
      </c>
      <c r="CR60" s="1" t="s">
        <v>223</v>
      </c>
      <c r="CS60" s="1">
        <f>IF(CQ60="Muy poca importancia",1,IF(CQ60="Poca Importancia",2,IF(CQ60="Ni Poca/ Ni Mucha",3,IF(CQ60="Algo de importancia",4,IF(CQ60="Mucha Importancia",5,0)))))</f>
        <v>1</v>
      </c>
      <c r="CT60" s="1">
        <f>IF(CR60="Muy poca importancia",1,IF(CR60="Poca Importancia",2,IF(CR60="Ni Poca/ Ni Mucha",3,IF(CR60="Algo de importancia",4,IF(CR60="Mucha Importancia",5,0)))))</f>
        <v>5</v>
      </c>
      <c r="CU60" s="1" t="s">
        <v>224</v>
      </c>
      <c r="CV60" s="1" t="s">
        <v>223</v>
      </c>
      <c r="CW60" s="1">
        <f>IF(CU60="Muy poca importancia",1,IF(CU60="Poca Importancia",2,IF(CU60="Ni Poca/ Ni Mucha",3,IF(CU60="Algo de importancia",4,IF(CU60="Mucha Importancia",5,0)))))</f>
        <v>1</v>
      </c>
      <c r="CX60" s="1">
        <f>IF(CV60="Muy poca importancia",1,IF(CV60="Poca Importancia",2,IF(CV60="Ni Poca/ Ni Mucha",3,IF(CV60="Algo de importancia",4,IF(CV60="Mucha Importancia",5,0)))))</f>
        <v>5</v>
      </c>
    </row>
    <row r="61" spans="1:286" ht="13.2" hidden="1" x14ac:dyDescent="0.25">
      <c r="A61" s="1" t="s">
        <v>217</v>
      </c>
      <c r="AV61" s="1">
        <v>1</v>
      </c>
      <c r="AW61" s="1">
        <v>2</v>
      </c>
      <c r="AX61" s="1">
        <v>3</v>
      </c>
      <c r="AY61" s="1">
        <v>1</v>
      </c>
      <c r="AZ61" s="1">
        <v>2</v>
      </c>
      <c r="BA61" s="1">
        <v>3</v>
      </c>
      <c r="BB61" s="1">
        <v>1</v>
      </c>
      <c r="BC61" s="1">
        <v>2</v>
      </c>
      <c r="BD61" s="1">
        <v>3</v>
      </c>
      <c r="BE61" s="1">
        <v>2</v>
      </c>
      <c r="BF61" s="1">
        <v>2</v>
      </c>
      <c r="BG61" s="1">
        <v>3</v>
      </c>
      <c r="BH61" s="1">
        <v>1</v>
      </c>
      <c r="BI61" s="1">
        <v>2</v>
      </c>
      <c r="BJ61" s="1">
        <v>3</v>
      </c>
      <c r="BK61" s="1" t="s">
        <v>223</v>
      </c>
      <c r="BL61" s="1" t="s">
        <v>222</v>
      </c>
      <c r="BM61" s="1" t="s">
        <v>224</v>
      </c>
      <c r="BN61" s="1">
        <f>IF(BK61="Muy poca importancia",1,IF(BK61="Poca Importancia",2,IF(BK61="Ni Poca/ Ni Mucha",3,IF(BK61="Algo de importancia",4,IF(BK61="Mucha Importancia",5,0)))))</f>
        <v>5</v>
      </c>
      <c r="BO61" s="1">
        <f t="shared" ref="BO61:BP61" si="64">IF(BL61="Muy poca importancia",1,IF(BL61="Poca Importancia",2,IF(BL61="Ni Poca/ Ni Mucha",3,IF(BL61="Algo de importancia",4,IF(BL61="Mucha Importancia",5,0)))))</f>
        <v>3</v>
      </c>
      <c r="BP61" s="1">
        <f t="shared" si="64"/>
        <v>1</v>
      </c>
      <c r="BQ61" s="1" t="s">
        <v>225</v>
      </c>
      <c r="BR61" s="1" t="s">
        <v>226</v>
      </c>
      <c r="BS61" s="1" t="s">
        <v>224</v>
      </c>
      <c r="BT61" s="1">
        <f>IF(BQ61="Muy poca importancia",1,IF(BQ61="Poca Importancia",2,IF(BQ61="Ni Poca/ Ni Mucha",3,IF(BQ61="Algo de importancia",4,IF(BQ61="Mucha Importancia",5,0)))))</f>
        <v>2</v>
      </c>
      <c r="BU61" s="1">
        <f t="shared" ref="BU61" si="65">IF(BR61="Muy poca importancia",1,IF(BR61="Poca Importancia",2,IF(BR61="Ni Poca/ Ni Mucha",3,IF(BR61="Algo de importancia",4,IF(BR61="Mucha Importancia",5,0)))))</f>
        <v>4</v>
      </c>
      <c r="BV61" s="1">
        <f t="shared" ref="BV61" si="66">IF(BS61="Muy poca importancia",1,IF(BS61="Poca Importancia",2,IF(BS61="Ni Poca/ Ni Mucha",3,IF(BS61="Algo de importancia",4,IF(BS61="Mucha Importancia",5,0)))))</f>
        <v>1</v>
      </c>
      <c r="BW61" s="1" t="s">
        <v>222</v>
      </c>
      <c r="BX61" s="1" t="s">
        <v>226</v>
      </c>
      <c r="BY61" s="1" t="s">
        <v>222</v>
      </c>
      <c r="BZ61" s="1">
        <f>IF(BW61="Muy poca importancia",1,IF(BW61="Poca Importancia",2,IF(BW61="Ni Poca/ Ni Mucha",3,IF(BW61="Algo de importancia",4,IF(BW61="Mucha Importancia",5,0)))))</f>
        <v>3</v>
      </c>
      <c r="CA61" s="1">
        <f t="shared" ref="CA61" si="67">IF(BX61="Muy poca importancia",1,IF(BX61="Poca Importancia",2,IF(BX61="Ni Poca/ Ni Mucha",3,IF(BX61="Algo de importancia",4,IF(BX61="Mucha Importancia",5,0)))))</f>
        <v>4</v>
      </c>
      <c r="CB61" s="1">
        <f t="shared" ref="CB61" si="68">IF(BY61="Muy poca importancia",1,IF(BY61="Poca Importancia",2,IF(BY61="Ni Poca/ Ni Mucha",3,IF(BY61="Algo de importancia",4,IF(BY61="Mucha Importancia",5,0)))))</f>
        <v>3</v>
      </c>
    </row>
    <row r="62" spans="1:286" ht="13.2" hidden="1" x14ac:dyDescent="0.25">
      <c r="A62" s="1" t="s">
        <v>227</v>
      </c>
      <c r="FM62" s="1">
        <v>4</v>
      </c>
      <c r="FN62" s="1">
        <v>6</v>
      </c>
      <c r="FO62" s="1">
        <v>5</v>
      </c>
      <c r="FP62" s="1">
        <v>6</v>
      </c>
      <c r="FQ62" s="1">
        <v>5</v>
      </c>
      <c r="FR62" s="1" t="s">
        <v>223</v>
      </c>
      <c r="FS62" s="1">
        <v>5</v>
      </c>
      <c r="FT62" s="1" t="s">
        <v>223</v>
      </c>
      <c r="FU62" s="1">
        <v>5</v>
      </c>
      <c r="FV62" s="1" t="s">
        <v>223</v>
      </c>
      <c r="FW62" s="1">
        <v>5</v>
      </c>
      <c r="JQ62" s="1" t="s">
        <v>218</v>
      </c>
      <c r="JR62" s="1">
        <v>6</v>
      </c>
      <c r="JS62" s="1">
        <v>6</v>
      </c>
      <c r="JT62" s="1">
        <v>6</v>
      </c>
      <c r="JU62" s="1" t="s">
        <v>221</v>
      </c>
      <c r="JV62" s="1" t="s">
        <v>222</v>
      </c>
      <c r="JW62" s="1" t="s">
        <v>223</v>
      </c>
      <c r="JX62" s="1" t="s">
        <v>223</v>
      </c>
      <c r="JY62" s="1"/>
      <c r="JZ62" s="1"/>
    </row>
    <row r="63" spans="1:286" ht="13.2" hidden="1" x14ac:dyDescent="0.25">
      <c r="A63" s="1" t="s">
        <v>217</v>
      </c>
      <c r="AV63" s="1">
        <v>3</v>
      </c>
      <c r="AW63" s="1">
        <v>6</v>
      </c>
      <c r="AX63" s="1">
        <v>7</v>
      </c>
      <c r="AY63" s="1">
        <v>3</v>
      </c>
      <c r="AZ63" s="1">
        <v>6</v>
      </c>
      <c r="BA63" s="1">
        <v>6</v>
      </c>
      <c r="BB63" s="1">
        <v>2</v>
      </c>
      <c r="BC63" s="1">
        <v>4</v>
      </c>
      <c r="BD63" s="1">
        <v>7</v>
      </c>
      <c r="BE63" s="1">
        <v>3</v>
      </c>
      <c r="BF63" s="1">
        <v>5</v>
      </c>
      <c r="BG63" s="1">
        <v>1</v>
      </c>
      <c r="BH63" s="1">
        <v>2</v>
      </c>
      <c r="BI63" s="1">
        <v>4</v>
      </c>
      <c r="BJ63" s="1">
        <v>7</v>
      </c>
      <c r="BK63" s="1" t="s">
        <v>226</v>
      </c>
      <c r="BL63" s="1" t="s">
        <v>225</v>
      </c>
      <c r="BM63" s="1" t="s">
        <v>226</v>
      </c>
      <c r="BN63" s="1">
        <f>IF(BK63="Muy poca importancia",1,IF(BK63="Poca Importancia",2,IF(BK63="Ni Poca/ Ni Mucha",3,IF(BK63="Algo de importancia",4,IF(BK63="Mucha Importancia",5,0)))))</f>
        <v>4</v>
      </c>
      <c r="BO63" s="1">
        <f t="shared" ref="BO63:BP63" si="69">IF(BL63="Muy poca importancia",1,IF(BL63="Poca Importancia",2,IF(BL63="Ni Poca/ Ni Mucha",3,IF(BL63="Algo de importancia",4,IF(BL63="Mucha Importancia",5,0)))))</f>
        <v>2</v>
      </c>
      <c r="BP63" s="1">
        <f t="shared" si="69"/>
        <v>4</v>
      </c>
      <c r="BQ63" s="1" t="s">
        <v>226</v>
      </c>
      <c r="BR63" s="1" t="s">
        <v>222</v>
      </c>
      <c r="BS63" s="1" t="s">
        <v>225</v>
      </c>
      <c r="BT63" s="1">
        <f>IF(BQ63="Muy poca importancia",1,IF(BQ63="Poca Importancia",2,IF(BQ63="Ni Poca/ Ni Mucha",3,IF(BQ63="Algo de importancia",4,IF(BQ63="Mucha Importancia",5,0)))))</f>
        <v>4</v>
      </c>
      <c r="BU63" s="1">
        <f t="shared" ref="BU63" si="70">IF(BR63="Muy poca importancia",1,IF(BR63="Poca Importancia",2,IF(BR63="Ni Poca/ Ni Mucha",3,IF(BR63="Algo de importancia",4,IF(BR63="Mucha Importancia",5,0)))))</f>
        <v>3</v>
      </c>
      <c r="BV63" s="1">
        <f t="shared" ref="BV63" si="71">IF(BS63="Muy poca importancia",1,IF(BS63="Poca Importancia",2,IF(BS63="Ni Poca/ Ni Mucha",3,IF(BS63="Algo de importancia",4,IF(BS63="Mucha Importancia",5,0)))))</f>
        <v>2</v>
      </c>
      <c r="BW63" s="1" t="s">
        <v>223</v>
      </c>
      <c r="BX63" s="1" t="s">
        <v>223</v>
      </c>
      <c r="BY63" s="1" t="s">
        <v>225</v>
      </c>
      <c r="BZ63" s="1">
        <f>IF(BW63="Muy poca importancia",1,IF(BW63="Poca Importancia",2,IF(BW63="Ni Poca/ Ni Mucha",3,IF(BW63="Algo de importancia",4,IF(BW63="Mucha Importancia",5,0)))))</f>
        <v>5</v>
      </c>
      <c r="CA63" s="1">
        <f t="shared" ref="CA63" si="72">IF(BX63="Muy poca importancia",1,IF(BX63="Poca Importancia",2,IF(BX63="Ni Poca/ Ni Mucha",3,IF(BX63="Algo de importancia",4,IF(BX63="Mucha Importancia",5,0)))))</f>
        <v>5</v>
      </c>
      <c r="CB63" s="1">
        <f t="shared" ref="CB63" si="73">IF(BY63="Muy poca importancia",1,IF(BY63="Poca Importancia",2,IF(BY63="Ni Poca/ Ni Mucha",3,IF(BY63="Algo de importancia",4,IF(BY63="Mucha Importancia",5,0)))))</f>
        <v>2</v>
      </c>
    </row>
    <row r="64" spans="1:286" ht="13.2" hidden="1" x14ac:dyDescent="0.25">
      <c r="A64" s="1" t="s">
        <v>235</v>
      </c>
      <c r="B64" s="1">
        <v>7</v>
      </c>
      <c r="C64" s="1">
        <v>3</v>
      </c>
      <c r="D64" s="1">
        <v>7</v>
      </c>
      <c r="E64" s="1">
        <v>3</v>
      </c>
      <c r="F64" s="1">
        <v>7</v>
      </c>
      <c r="G64" s="1">
        <v>5</v>
      </c>
      <c r="H64" s="1">
        <v>1</v>
      </c>
      <c r="I64" s="1">
        <v>4</v>
      </c>
      <c r="J64" s="1">
        <v>7</v>
      </c>
      <c r="K64" s="1">
        <v>4</v>
      </c>
      <c r="L64" s="1" t="s">
        <v>224</v>
      </c>
      <c r="M64" s="1" t="s">
        <v>226</v>
      </c>
      <c r="N64" s="1">
        <f>IF(L64="Muy poca importancia",1,IF(L64="Poca Importancia",2,IF(L64="Ni Poca/ Ni Mucha",3,IF(L64="Algo de importancia",4,IF(L64="Mucha Importancia",5,0)))))</f>
        <v>1</v>
      </c>
      <c r="O64" s="1">
        <f>IF(M64="Muy poca importancia",1,IF(M64="Poca Importancia",2,IF(M64="Ni Poca/ Ni Mucha",3,IF(M64="Algo de importancia",4,IF(M64="Mucha Importancia",5,0)))))</f>
        <v>4</v>
      </c>
      <c r="P64" s="1" t="s">
        <v>224</v>
      </c>
      <c r="Q64" s="1" t="s">
        <v>226</v>
      </c>
      <c r="R64" s="1">
        <f>IF(P64="Muy poca importancia",1,IF(P64="Poca Importancia",2,IF(P64="Ni Poca/ Ni Mucha",3,IF(P64="Algo de importancia",4,IF(P64="Mucha Importancia",5,0)))))</f>
        <v>1</v>
      </c>
      <c r="S64" s="1">
        <f>IF(Q64="Muy poca importancia",1,IF(Q64="Poca Importancia",2,IF(Q64="Ni Poca/ Ni Mucha",3,IF(Q64="Algo de importancia",4,IF(Q64="Mucha Importancia",5,0)))))</f>
        <v>4</v>
      </c>
      <c r="T64" s="1" t="s">
        <v>224</v>
      </c>
      <c r="U64" s="1" t="s">
        <v>223</v>
      </c>
      <c r="V64" s="1">
        <f>IF(T64="Muy poca importancia",1,IF(T64="Poca Importancia",2,IF(T64="Ni Poca/ Ni Mucha",3,IF(T64="Algo de importancia",4,IF(T64="Mucha Importancia",5,0)))))</f>
        <v>1</v>
      </c>
      <c r="W64" s="1">
        <f>IF(U64="Muy poca importancia",1,IF(U64="Poca Importancia",2,IF(U64="Ni Poca/ Ni Mucha",3,IF(U64="Algo de importancia",4,IF(U64="Mucha Importancia",5,0)))))</f>
        <v>5</v>
      </c>
    </row>
    <row r="65" spans="1:291" ht="13.2" hidden="1" x14ac:dyDescent="0.25">
      <c r="A65" s="1" t="s">
        <v>237</v>
      </c>
      <c r="GT65" s="1">
        <v>6</v>
      </c>
      <c r="GU65" s="1">
        <v>5</v>
      </c>
      <c r="GV65" s="1">
        <v>5</v>
      </c>
      <c r="GW65" s="1">
        <v>7</v>
      </c>
      <c r="GX65" s="1">
        <v>6</v>
      </c>
      <c r="GY65" s="1">
        <v>6</v>
      </c>
      <c r="GZ65" s="1">
        <v>7</v>
      </c>
      <c r="HA65" s="1">
        <v>5</v>
      </c>
      <c r="HB65" s="1">
        <v>5</v>
      </c>
      <c r="HC65" s="1">
        <v>7</v>
      </c>
      <c r="HD65" s="1">
        <v>4</v>
      </c>
      <c r="HE65" s="1">
        <v>4</v>
      </c>
      <c r="HF65" s="1">
        <v>7</v>
      </c>
      <c r="HG65" s="1">
        <v>4</v>
      </c>
      <c r="HH65" s="1">
        <v>4</v>
      </c>
      <c r="HI65" s="1" t="s">
        <v>222</v>
      </c>
      <c r="HJ65" s="1" t="s">
        <v>222</v>
      </c>
      <c r="HK65" s="1" t="s">
        <v>222</v>
      </c>
      <c r="HL65" s="1">
        <v>3</v>
      </c>
      <c r="HM65" s="1">
        <v>3</v>
      </c>
      <c r="HN65" s="1">
        <v>3</v>
      </c>
      <c r="HO65" s="1" t="s">
        <v>223</v>
      </c>
      <c r="HP65" s="1" t="s">
        <v>222</v>
      </c>
      <c r="HQ65" s="1" t="s">
        <v>222</v>
      </c>
      <c r="HR65" s="1">
        <v>5</v>
      </c>
      <c r="HS65" s="1">
        <v>3</v>
      </c>
      <c r="HT65" s="1">
        <v>3</v>
      </c>
      <c r="HU65" s="1" t="s">
        <v>226</v>
      </c>
      <c r="HV65" s="1" t="s">
        <v>226</v>
      </c>
      <c r="HW65" s="1" t="s">
        <v>226</v>
      </c>
      <c r="HX65" s="1">
        <v>4</v>
      </c>
      <c r="HY65" s="1">
        <v>4</v>
      </c>
      <c r="HZ65" s="1">
        <v>4</v>
      </c>
    </row>
    <row r="66" spans="1:291" ht="13.2" hidden="1" x14ac:dyDescent="0.25">
      <c r="A66" s="1" t="s">
        <v>241</v>
      </c>
      <c r="CY66" s="1"/>
      <c r="CZ66" s="1"/>
      <c r="DA66" s="1">
        <v>6</v>
      </c>
      <c r="DB66" s="1">
        <v>5</v>
      </c>
      <c r="DC66" s="1">
        <v>5</v>
      </c>
      <c r="DD66" s="1">
        <v>7</v>
      </c>
      <c r="DE66" s="1">
        <v>6</v>
      </c>
      <c r="DF66" s="1">
        <v>3</v>
      </c>
      <c r="DG66" s="1">
        <v>3</v>
      </c>
      <c r="DH66" s="1">
        <v>5</v>
      </c>
      <c r="DI66" s="1" t="s">
        <v>226</v>
      </c>
      <c r="DJ66" s="1" t="s">
        <v>226</v>
      </c>
      <c r="DK66" s="1">
        <f t="shared" ref="DK66:DK67" si="74">IF(DI66="Muy poca importancia",1,IF(DI66="Poca Importancia",2,IF(DI66="Ni Poca/ Ni Mucha",3,IF(DI66="Algo de importancia",4,IF(DI66="Mucha Importancia",5,0)))))</f>
        <v>4</v>
      </c>
      <c r="DL66" s="1">
        <f t="shared" ref="DL66:DL67" si="75">IF(DJ66="Muy poca importancia",1,IF(DJ66="Poca Importancia",2,IF(DJ66="Ni Poca/ Ni Mucha",3,IF(DJ66="Algo de importancia",4,IF(DJ66="Mucha Importancia",5,0)))))</f>
        <v>4</v>
      </c>
      <c r="DM66" s="1" t="s">
        <v>223</v>
      </c>
      <c r="DN66" s="1" t="s">
        <v>226</v>
      </c>
      <c r="DO66" s="1">
        <f t="shared" ref="DO66:DO67" si="76">IF(DM66="Muy poca importancia",1,IF(DM66="Poca Importancia",2,IF(DM66="Ni Poca/ Ni Mucha",3,IF(DM66="Algo de importancia",4,IF(DM66="Mucha Importancia",5,0)))))</f>
        <v>5</v>
      </c>
      <c r="DP66" s="1">
        <f t="shared" ref="DP66:DP67" si="77">IF(DN66="Muy poca importancia",1,IF(DN66="Poca Importancia",2,IF(DN66="Ni Poca/ Ni Mucha",3,IF(DN66="Algo de importancia",4,IF(DN66="Mucha Importancia",5,0)))))</f>
        <v>4</v>
      </c>
      <c r="DQ66" s="1" t="s">
        <v>226</v>
      </c>
      <c r="DR66" s="1" t="s">
        <v>226</v>
      </c>
      <c r="DS66" s="1">
        <f t="shared" ref="DS66:DS67" si="78">IF(DQ66="Muy poca importancia",1,IF(DQ66="Poca Importancia",2,IF(DQ66="Ni Poca/ Ni Mucha",3,IF(DQ66="Algo de importancia",4,IF(DQ66="Mucha Importancia",5,0)))))</f>
        <v>4</v>
      </c>
      <c r="DT66" s="1">
        <f t="shared" ref="DT66:DT67" si="79">IF(DR66="Muy poca importancia",1,IF(DR66="Poca Importancia",2,IF(DR66="Ni Poca/ Ni Mucha",3,IF(DR66="Algo de importancia",4,IF(DR66="Mucha Importancia",5,0)))))</f>
        <v>4</v>
      </c>
      <c r="JY66" s="1">
        <v>4</v>
      </c>
      <c r="JZ66" s="1" t="s">
        <v>218</v>
      </c>
    </row>
    <row r="67" spans="1:291" ht="13.2" hidden="1" x14ac:dyDescent="0.25">
      <c r="A67" s="2" t="s">
        <v>241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3">
        <v>5</v>
      </c>
      <c r="CZ67" s="3">
        <v>6</v>
      </c>
      <c r="DA67" s="3">
        <v>4</v>
      </c>
      <c r="DB67" s="3">
        <v>4</v>
      </c>
      <c r="DC67" s="3">
        <v>5</v>
      </c>
      <c r="DD67" s="2">
        <v>7</v>
      </c>
      <c r="DE67" s="2"/>
      <c r="DF67" s="2"/>
      <c r="DG67" s="2">
        <v>7</v>
      </c>
      <c r="DH67" s="2">
        <v>7</v>
      </c>
      <c r="DI67" s="2" t="s">
        <v>223</v>
      </c>
      <c r="DJ67" s="2" t="s">
        <v>223</v>
      </c>
      <c r="DK67" s="1">
        <f t="shared" si="74"/>
        <v>5</v>
      </c>
      <c r="DL67" s="1">
        <f t="shared" si="75"/>
        <v>5</v>
      </c>
      <c r="DM67" s="2" t="s">
        <v>223</v>
      </c>
      <c r="DN67" s="2" t="s">
        <v>222</v>
      </c>
      <c r="DO67" s="1">
        <f t="shared" si="76"/>
        <v>5</v>
      </c>
      <c r="DP67" s="1">
        <f t="shared" si="77"/>
        <v>3</v>
      </c>
      <c r="DQ67" s="2" t="s">
        <v>226</v>
      </c>
      <c r="DR67" s="2" t="s">
        <v>225</v>
      </c>
      <c r="DS67" s="1">
        <f t="shared" si="78"/>
        <v>4</v>
      </c>
      <c r="DT67" s="1">
        <f t="shared" si="79"/>
        <v>2</v>
      </c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</row>
  </sheetData>
  <autoFilter ref="A1:KF67" xr:uid="{00000000-0001-0000-0000-000000000000}">
    <filterColumn colId="0">
      <filters>
        <filter val="Urugua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F934-DA87-4D99-8C7B-89476EB082E1}">
  <dimension ref="A1:AP119"/>
  <sheetViews>
    <sheetView zoomScaleNormal="100" workbookViewId="0">
      <selection activeCell="H2" sqref="H2:H10"/>
    </sheetView>
  </sheetViews>
  <sheetFormatPr baseColWidth="10" defaultColWidth="11.44140625" defaultRowHeight="13.8" x14ac:dyDescent="0.25"/>
  <cols>
    <col min="1" max="1" width="37.33203125" style="4" bestFit="1" customWidth="1"/>
    <col min="2" max="4" width="11.44140625" style="4"/>
    <col min="5" max="5" width="11.5546875" style="4" bestFit="1" customWidth="1"/>
    <col min="6" max="6" width="11.44140625" style="4"/>
    <col min="7" max="12" width="0" style="4" hidden="1" customWidth="1"/>
    <col min="13" max="13" width="10.44140625" style="4" hidden="1" customWidth="1"/>
    <col min="14" max="14" width="4" style="4" bestFit="1" customWidth="1"/>
    <col min="15" max="18" width="10.44140625" style="4" customWidth="1"/>
    <col min="19" max="19" width="22" style="4" bestFit="1" customWidth="1"/>
    <col min="20" max="20" width="15" style="4" customWidth="1"/>
    <col min="21" max="21" width="10.44140625" style="4" customWidth="1"/>
    <col min="22" max="22" width="16.6640625" style="4" bestFit="1" customWidth="1"/>
    <col min="23" max="23" width="10.44140625" style="4" customWidth="1"/>
    <col min="24" max="24" width="8.6640625" style="4" hidden="1" customWidth="1"/>
    <col min="25" max="25" width="7" style="4" hidden="1" customWidth="1"/>
    <col min="26" max="27" width="8.109375" style="4" hidden="1" customWidth="1"/>
    <col min="28" max="28" width="10.5546875" style="4" hidden="1" customWidth="1"/>
    <col min="29" max="29" width="8.44140625" style="4" hidden="1" customWidth="1"/>
    <col min="30" max="30" width="4.6640625" style="4" hidden="1" customWidth="1"/>
    <col min="31" max="31" width="11.33203125" style="4" hidden="1" customWidth="1"/>
    <col min="32" max="32" width="10.88671875" style="4" hidden="1" customWidth="1"/>
    <col min="33" max="33" width="16.109375" style="4" hidden="1" customWidth="1"/>
    <col min="34" max="34" width="8.6640625" style="4" hidden="1" customWidth="1"/>
    <col min="35" max="36" width="9.44140625" style="4" hidden="1" customWidth="1"/>
    <col min="37" max="37" width="10.88671875" style="4" hidden="1" customWidth="1"/>
    <col min="38" max="38" width="42.88671875" style="4" hidden="1" customWidth="1"/>
    <col min="39" max="39" width="9.5546875" style="4" hidden="1" customWidth="1"/>
    <col min="40" max="41" width="10.6640625" style="4" hidden="1" customWidth="1"/>
    <col min="42" max="42" width="11.5546875" style="4" hidden="1" customWidth="1"/>
    <col min="43" max="16384" width="11.44140625" style="4"/>
  </cols>
  <sheetData>
    <row r="1" spans="1:42" x14ac:dyDescent="0.25">
      <c r="A1" s="4" t="s">
        <v>245</v>
      </c>
      <c r="B1" s="4" t="s">
        <v>246</v>
      </c>
      <c r="C1" s="4" t="s">
        <v>247</v>
      </c>
      <c r="D1" s="4" t="s">
        <v>248</v>
      </c>
      <c r="E1" s="4" t="s">
        <v>271</v>
      </c>
      <c r="F1" s="4" t="s">
        <v>249</v>
      </c>
      <c r="G1" s="4" t="s">
        <v>250</v>
      </c>
      <c r="H1" s="4" t="s">
        <v>251</v>
      </c>
      <c r="I1" s="4" t="s">
        <v>252</v>
      </c>
      <c r="J1" s="4" t="s">
        <v>253</v>
      </c>
      <c r="K1" s="4" t="s">
        <v>254</v>
      </c>
      <c r="L1" s="4" t="s">
        <v>255</v>
      </c>
      <c r="M1" s="4" t="s">
        <v>256</v>
      </c>
      <c r="N1" s="4" t="s">
        <v>458</v>
      </c>
      <c r="O1" s="4" t="s">
        <v>459</v>
      </c>
      <c r="P1" s="12" t="s">
        <v>460</v>
      </c>
      <c r="Q1" s="12" t="s">
        <v>461</v>
      </c>
      <c r="R1" s="13" t="s">
        <v>462</v>
      </c>
      <c r="S1" s="11" t="s">
        <v>454</v>
      </c>
      <c r="T1" s="11" t="s">
        <v>455</v>
      </c>
      <c r="U1" s="11" t="s">
        <v>456</v>
      </c>
      <c r="V1" s="11" t="s">
        <v>457</v>
      </c>
      <c r="X1" s="4" t="s">
        <v>257</v>
      </c>
      <c r="Y1" s="4" t="s">
        <v>258</v>
      </c>
      <c r="Z1" s="4" t="s">
        <v>259</v>
      </c>
      <c r="AA1" s="4" t="s">
        <v>260</v>
      </c>
      <c r="AB1" s="4" t="s">
        <v>261</v>
      </c>
      <c r="AC1" s="4" t="s">
        <v>262</v>
      </c>
      <c r="AD1" s="4" t="s">
        <v>263</v>
      </c>
      <c r="AE1" s="4" t="s">
        <v>264</v>
      </c>
      <c r="AF1" s="4" t="s">
        <v>265</v>
      </c>
      <c r="AG1" s="4" t="s">
        <v>266</v>
      </c>
      <c r="AH1" s="4" t="s">
        <v>267</v>
      </c>
      <c r="AI1" s="4" t="s">
        <v>268</v>
      </c>
      <c r="AJ1" s="4" t="s">
        <v>269</v>
      </c>
      <c r="AK1" s="4" t="s">
        <v>270</v>
      </c>
      <c r="AL1" s="4" t="s">
        <v>272</v>
      </c>
      <c r="AM1" s="4" t="s">
        <v>273</v>
      </c>
      <c r="AN1" s="4" t="s">
        <v>274</v>
      </c>
      <c r="AO1" s="4" t="s">
        <v>275</v>
      </c>
      <c r="AP1" s="4" t="s">
        <v>276</v>
      </c>
    </row>
    <row r="2" spans="1:42" x14ac:dyDescent="0.25">
      <c r="A2" s="4" t="s">
        <v>453</v>
      </c>
      <c r="B2" s="4" t="s">
        <v>235</v>
      </c>
      <c r="C2" s="4">
        <v>1</v>
      </c>
      <c r="D2" s="4">
        <v>1</v>
      </c>
      <c r="E2" s="4">
        <v>1983</v>
      </c>
      <c r="F2" s="4">
        <v>3.6</v>
      </c>
      <c r="G2" s="4">
        <v>3.44</v>
      </c>
      <c r="H2" s="4">
        <v>3</v>
      </c>
      <c r="I2" s="4">
        <v>3.9</v>
      </c>
      <c r="J2" s="4">
        <v>3.2</v>
      </c>
      <c r="K2" s="4">
        <v>4.2</v>
      </c>
      <c r="L2" s="4">
        <v>4.5999999999999996</v>
      </c>
      <c r="M2" s="4">
        <v>4.0999999999999996</v>
      </c>
      <c r="N2" s="9">
        <f>AVERAGE(G2,H2,J2)</f>
        <v>3.2133333333333334</v>
      </c>
      <c r="O2" s="9"/>
      <c r="P2" s="9"/>
      <c r="X2" s="4">
        <v>0</v>
      </c>
      <c r="Y2" s="4">
        <v>11</v>
      </c>
      <c r="Z2" s="4">
        <v>19</v>
      </c>
      <c r="AA2" s="4">
        <v>21.05</v>
      </c>
      <c r="AB2" s="4">
        <v>0.15732299999999999</v>
      </c>
      <c r="AC2" s="4">
        <v>0</v>
      </c>
      <c r="AD2" s="4">
        <v>0</v>
      </c>
      <c r="AE2" s="5">
        <v>243311</v>
      </c>
      <c r="AF2" s="4">
        <v>0</v>
      </c>
      <c r="AG2" s="4">
        <v>0.28000000000000003</v>
      </c>
      <c r="AH2" s="5">
        <v>233333</v>
      </c>
      <c r="AI2" s="4">
        <v>653.63</v>
      </c>
      <c r="AJ2" s="4">
        <v>1925.08</v>
      </c>
      <c r="AK2" s="6">
        <v>29000000</v>
      </c>
      <c r="AL2" s="4" t="s">
        <v>277</v>
      </c>
      <c r="AM2" s="4" t="s">
        <v>278</v>
      </c>
      <c r="AN2" s="4">
        <v>2</v>
      </c>
      <c r="AO2" s="4">
        <v>2.1999999999999999E-5</v>
      </c>
      <c r="AP2" s="4">
        <v>6.4999999999999994E-5</v>
      </c>
    </row>
    <row r="3" spans="1:42" x14ac:dyDescent="0.25">
      <c r="A3" s="4" t="s">
        <v>279</v>
      </c>
      <c r="B3" s="4" t="s">
        <v>235</v>
      </c>
      <c r="C3" s="4">
        <v>1</v>
      </c>
      <c r="D3" s="4">
        <v>2</v>
      </c>
      <c r="E3" s="4">
        <v>1989</v>
      </c>
      <c r="F3" s="4">
        <v>6.1</v>
      </c>
      <c r="G3" s="4">
        <v>6.2</v>
      </c>
      <c r="H3" s="4">
        <v>5.7</v>
      </c>
      <c r="I3" s="4">
        <v>4.8</v>
      </c>
      <c r="J3" s="4">
        <v>6.1</v>
      </c>
      <c r="K3" s="4">
        <v>3.2</v>
      </c>
      <c r="L3" s="4">
        <v>4.8</v>
      </c>
      <c r="M3" s="4">
        <v>4.5</v>
      </c>
      <c r="N3" s="9">
        <f>AVERAGE(G3,H3,J3)</f>
        <v>6</v>
      </c>
      <c r="O3" s="9">
        <f t="shared" ref="O3:O11" si="0">IF(B3=B2,SQRT((N3-N2)^2)," ")</f>
        <v>2.7866666666666666</v>
      </c>
      <c r="P3" s="9">
        <f>IF(B3=B2,SQRT((F3-F2)^2)," ")</f>
        <v>2.4999999999999996</v>
      </c>
      <c r="X3" s="4">
        <v>1</v>
      </c>
      <c r="Y3" s="4">
        <v>9.66</v>
      </c>
      <c r="Z3" s="4">
        <v>19</v>
      </c>
      <c r="AA3" s="4">
        <v>17.63</v>
      </c>
      <c r="AB3" s="4">
        <v>0.15732299999999999</v>
      </c>
      <c r="AC3" s="4">
        <v>1</v>
      </c>
      <c r="AD3" s="4">
        <v>0</v>
      </c>
      <c r="AE3" s="5">
        <v>-882854</v>
      </c>
      <c r="AF3" s="4">
        <v>0.1</v>
      </c>
      <c r="AG3" s="4">
        <v>0.38</v>
      </c>
      <c r="AH3" s="5">
        <v>233333</v>
      </c>
      <c r="AI3" s="4">
        <v>582.20000000000005</v>
      </c>
      <c r="AJ3" s="4">
        <v>2431.0100000000002</v>
      </c>
      <c r="AK3" s="6">
        <v>32000000</v>
      </c>
      <c r="AL3" s="4" t="s">
        <v>280</v>
      </c>
      <c r="AM3" s="4" t="s">
        <v>281</v>
      </c>
      <c r="AN3" s="4">
        <v>3</v>
      </c>
      <c r="AO3" s="4">
        <v>1.8E-5</v>
      </c>
      <c r="AP3" s="4">
        <v>7.4999999999999993E-5</v>
      </c>
    </row>
    <row r="4" spans="1:42" x14ac:dyDescent="0.25">
      <c r="A4" s="4" t="s">
        <v>282</v>
      </c>
      <c r="B4" s="4" t="s">
        <v>235</v>
      </c>
      <c r="C4" s="4">
        <v>1</v>
      </c>
      <c r="D4" s="4">
        <v>3</v>
      </c>
      <c r="E4" s="4">
        <v>1994</v>
      </c>
      <c r="F4" s="4">
        <v>6.3</v>
      </c>
      <c r="G4" s="4">
        <v>6.2</v>
      </c>
      <c r="H4" s="4">
        <v>5.8</v>
      </c>
      <c r="I4" s="4">
        <v>4.7</v>
      </c>
      <c r="J4" s="4">
        <v>6.1</v>
      </c>
      <c r="K4" s="4">
        <v>3.1</v>
      </c>
      <c r="L4" s="4">
        <v>4.4000000000000004</v>
      </c>
      <c r="M4" s="4">
        <v>4.4000000000000004</v>
      </c>
      <c r="N4" s="9">
        <f t="shared" ref="N4:N66" si="1">AVERAGE(G4,H4,J4)</f>
        <v>6.0333333333333341</v>
      </c>
      <c r="O4" s="9">
        <f t="shared" si="0"/>
        <v>3.3333333333334103E-2</v>
      </c>
      <c r="P4" s="9">
        <f t="shared" ref="P4:P67" si="2">IF(B4=B3,SQRT((F4-F3)^2)," ")</f>
        <v>0.20000000000000018</v>
      </c>
      <c r="X4" s="4">
        <v>0</v>
      </c>
      <c r="Y4" s="4">
        <v>8.75</v>
      </c>
      <c r="Z4" s="4">
        <v>17</v>
      </c>
      <c r="AA4" s="4">
        <v>20.37</v>
      </c>
      <c r="AB4" s="4">
        <v>0.15732299999999999</v>
      </c>
      <c r="AC4" s="4">
        <v>0</v>
      </c>
      <c r="AD4" s="4">
        <v>0</v>
      </c>
      <c r="AE4" s="5">
        <v>443914</v>
      </c>
      <c r="AF4" s="4">
        <v>0.1</v>
      </c>
      <c r="AG4" s="4">
        <v>0.38</v>
      </c>
      <c r="AH4" s="5">
        <v>233333</v>
      </c>
      <c r="AI4" s="4">
        <v>485.64</v>
      </c>
      <c r="AJ4" s="4">
        <v>6762.82</v>
      </c>
      <c r="AK4" s="6">
        <v>35000000</v>
      </c>
      <c r="AL4" s="4" t="s">
        <v>280</v>
      </c>
      <c r="AM4" s="4" t="s">
        <v>281</v>
      </c>
      <c r="AN4" s="4">
        <v>3</v>
      </c>
      <c r="AO4" s="4">
        <v>1.4E-5</v>
      </c>
      <c r="AP4" s="4">
        <v>1.9599999999999999E-4</v>
      </c>
    </row>
    <row r="5" spans="1:42" x14ac:dyDescent="0.25">
      <c r="A5" s="4" t="s">
        <v>283</v>
      </c>
      <c r="B5" s="4" t="s">
        <v>235</v>
      </c>
      <c r="C5" s="4">
        <v>1</v>
      </c>
      <c r="D5" s="4">
        <v>4</v>
      </c>
      <c r="E5" s="4">
        <v>1999</v>
      </c>
      <c r="F5" s="4">
        <v>5.9</v>
      </c>
      <c r="G5" s="4">
        <v>6.1</v>
      </c>
      <c r="H5" s="4">
        <v>5.5</v>
      </c>
      <c r="I5" s="4">
        <v>4.5999999999999996</v>
      </c>
      <c r="J5" s="4">
        <v>5.9</v>
      </c>
      <c r="K5" s="4">
        <v>3</v>
      </c>
      <c r="L5" s="4">
        <v>4</v>
      </c>
      <c r="M5" s="4">
        <v>4.0999999999999996</v>
      </c>
      <c r="N5" s="9">
        <f t="shared" si="1"/>
        <v>5.833333333333333</v>
      </c>
      <c r="O5" s="9">
        <f t="shared" si="0"/>
        <v>0.20000000000000107</v>
      </c>
      <c r="P5" s="9">
        <f t="shared" si="2"/>
        <v>0.39999999999999947</v>
      </c>
      <c r="Q5" s="4">
        <v>1</v>
      </c>
      <c r="R5" s="4">
        <v>1</v>
      </c>
      <c r="S5" s="8">
        <v>2.25</v>
      </c>
      <c r="T5" s="8">
        <v>3.0390000000000001</v>
      </c>
      <c r="U5" s="8">
        <v>5.2889999999999997</v>
      </c>
      <c r="V5" s="8">
        <v>0.83899999999999997</v>
      </c>
      <c r="X5" s="4">
        <v>0</v>
      </c>
      <c r="Y5" s="4">
        <v>10</v>
      </c>
      <c r="Z5" s="4">
        <v>17</v>
      </c>
      <c r="AA5" s="4">
        <v>9.57</v>
      </c>
      <c r="AB5" s="4">
        <v>0.15732299999999999</v>
      </c>
      <c r="AC5" s="4">
        <v>0</v>
      </c>
      <c r="AD5" s="4">
        <v>1</v>
      </c>
      <c r="AE5" s="5">
        <v>-450727</v>
      </c>
      <c r="AF5" s="4">
        <v>0.1</v>
      </c>
      <c r="AG5" s="4">
        <v>0.31</v>
      </c>
      <c r="AH5" s="5">
        <v>233333</v>
      </c>
      <c r="AI5" s="4">
        <v>1711.46</v>
      </c>
      <c r="AJ5" s="4">
        <v>7765.85</v>
      </c>
      <c r="AK5" s="6">
        <v>37000000</v>
      </c>
      <c r="AL5" s="4" t="s">
        <v>277</v>
      </c>
      <c r="AM5" s="4" t="s">
        <v>278</v>
      </c>
      <c r="AN5" s="4">
        <v>2</v>
      </c>
      <c r="AO5" s="4">
        <v>4.6999999999999997E-5</v>
      </c>
      <c r="AP5" s="4">
        <v>2.12E-4</v>
      </c>
    </row>
    <row r="6" spans="1:42" x14ac:dyDescent="0.25">
      <c r="A6" s="4" t="s">
        <v>284</v>
      </c>
      <c r="B6" s="4" t="s">
        <v>235</v>
      </c>
      <c r="C6" s="4">
        <v>1</v>
      </c>
      <c r="D6" s="4">
        <v>5</v>
      </c>
      <c r="E6" s="4">
        <v>2001</v>
      </c>
      <c r="F6" s="4">
        <v>4.5999999999999996</v>
      </c>
      <c r="G6" s="4">
        <v>4.33</v>
      </c>
      <c r="H6" s="4">
        <v>4</v>
      </c>
      <c r="I6" s="4">
        <v>5.0999999999999996</v>
      </c>
      <c r="J6" s="4">
        <v>4.0999999999999996</v>
      </c>
      <c r="K6" s="4">
        <v>3.4</v>
      </c>
      <c r="L6" s="4">
        <v>4.2</v>
      </c>
      <c r="M6" s="4">
        <v>3.8</v>
      </c>
      <c r="N6" s="9">
        <f t="shared" si="1"/>
        <v>4.1433333333333335</v>
      </c>
      <c r="O6" s="9">
        <f t="shared" si="0"/>
        <v>1.6899999999999995</v>
      </c>
      <c r="P6" s="9">
        <f t="shared" si="2"/>
        <v>1.3000000000000007</v>
      </c>
      <c r="Q6" s="4">
        <v>1</v>
      </c>
      <c r="R6" s="4">
        <v>1</v>
      </c>
      <c r="S6" s="8">
        <v>2.25</v>
      </c>
      <c r="T6" s="8">
        <v>2.9670000000000001</v>
      </c>
      <c r="U6" s="8">
        <v>5.2170000000000005</v>
      </c>
      <c r="V6" s="8">
        <v>0.83799999999999997</v>
      </c>
      <c r="X6" s="4">
        <v>1</v>
      </c>
      <c r="Y6" s="4">
        <v>8</v>
      </c>
      <c r="Z6" s="4">
        <v>17</v>
      </c>
      <c r="AA6" s="4">
        <v>33.6</v>
      </c>
      <c r="AB6" s="4">
        <v>0.15732299999999999</v>
      </c>
      <c r="AC6" s="4">
        <v>0</v>
      </c>
      <c r="AD6" s="4">
        <v>0</v>
      </c>
      <c r="AE6" s="5">
        <v>-117423</v>
      </c>
      <c r="AF6" s="4">
        <v>0.125</v>
      </c>
      <c r="AG6" s="4">
        <v>0.44</v>
      </c>
      <c r="AH6" s="5">
        <v>233333</v>
      </c>
      <c r="AI6" s="4">
        <v>2493.9499999999998</v>
      </c>
      <c r="AJ6" s="4">
        <v>7037.71</v>
      </c>
      <c r="AK6" s="6">
        <v>37000000</v>
      </c>
      <c r="AL6" s="4" t="s">
        <v>280</v>
      </c>
      <c r="AM6" s="4" t="s">
        <v>285</v>
      </c>
      <c r="AN6" s="4">
        <v>1</v>
      </c>
      <c r="AO6" s="4">
        <v>6.7000000000000002E-5</v>
      </c>
      <c r="AP6" s="4">
        <v>1.8799999999999999E-4</v>
      </c>
    </row>
    <row r="7" spans="1:42" x14ac:dyDescent="0.25">
      <c r="A7" s="4" t="s">
        <v>286</v>
      </c>
      <c r="B7" s="4" t="s">
        <v>235</v>
      </c>
      <c r="C7" s="4">
        <v>1</v>
      </c>
      <c r="D7" s="4">
        <v>6</v>
      </c>
      <c r="E7" s="4">
        <v>2002</v>
      </c>
      <c r="F7" s="4">
        <v>2.8</v>
      </c>
      <c r="G7" s="4">
        <v>2.7</v>
      </c>
      <c r="H7" s="4">
        <v>2.2000000000000002</v>
      </c>
      <c r="I7" s="4">
        <v>3.2</v>
      </c>
      <c r="J7" s="4">
        <v>2.8</v>
      </c>
      <c r="K7" s="4">
        <v>3.6</v>
      </c>
      <c r="L7" s="4">
        <v>3.7</v>
      </c>
      <c r="M7" s="4">
        <v>4</v>
      </c>
      <c r="N7" s="9">
        <f t="shared" si="1"/>
        <v>2.5666666666666669</v>
      </c>
      <c r="O7" s="9">
        <f t="shared" si="0"/>
        <v>1.5766666666666667</v>
      </c>
      <c r="P7" s="9">
        <f t="shared" si="2"/>
        <v>1.7999999999999998</v>
      </c>
      <c r="Q7" s="4">
        <v>0</v>
      </c>
      <c r="R7" s="4">
        <v>1</v>
      </c>
      <c r="S7" s="8">
        <v>2.25</v>
      </c>
      <c r="T7" s="8">
        <v>2.7669999999999999</v>
      </c>
      <c r="U7" s="8">
        <v>5.0169999999999995</v>
      </c>
      <c r="V7" s="8">
        <v>0.83299999999999996</v>
      </c>
      <c r="X7" s="4">
        <v>0</v>
      </c>
      <c r="Y7" s="4">
        <v>10</v>
      </c>
      <c r="Z7" s="4">
        <v>17</v>
      </c>
      <c r="AA7" s="4">
        <v>28.52</v>
      </c>
      <c r="AB7" s="4">
        <v>0.15732299999999999</v>
      </c>
      <c r="AC7" s="4">
        <v>0</v>
      </c>
      <c r="AD7" s="4">
        <v>0</v>
      </c>
      <c r="AE7" s="5">
        <v>784381</v>
      </c>
      <c r="AF7" s="4">
        <v>0</v>
      </c>
      <c r="AG7" s="4">
        <v>0.44</v>
      </c>
      <c r="AH7" s="5">
        <v>233333</v>
      </c>
      <c r="AI7" s="4">
        <v>1665.49</v>
      </c>
      <c r="AJ7" s="4">
        <v>5236.3500000000004</v>
      </c>
      <c r="AK7" s="6">
        <v>38000000</v>
      </c>
      <c r="AL7" s="4" t="s">
        <v>280</v>
      </c>
      <c r="AM7" s="4" t="s">
        <v>285</v>
      </c>
      <c r="AN7" s="4">
        <v>1</v>
      </c>
      <c r="AO7" s="4">
        <v>4.3000000000000002E-5</v>
      </c>
      <c r="AP7" s="4">
        <v>1.37E-4</v>
      </c>
    </row>
    <row r="8" spans="1:42" x14ac:dyDescent="0.25">
      <c r="A8" s="4" t="s">
        <v>287</v>
      </c>
      <c r="B8" s="4" t="s">
        <v>235</v>
      </c>
      <c r="C8" s="4">
        <v>1</v>
      </c>
      <c r="D8" s="4">
        <v>7</v>
      </c>
      <c r="E8" s="4">
        <v>2006</v>
      </c>
      <c r="F8" s="4">
        <v>2.5</v>
      </c>
      <c r="G8" s="4">
        <v>2</v>
      </c>
      <c r="H8" s="4">
        <v>2</v>
      </c>
      <c r="I8" s="4">
        <v>2.5</v>
      </c>
      <c r="J8" s="4">
        <v>2.2000000000000002</v>
      </c>
      <c r="K8" s="4">
        <v>3.5</v>
      </c>
      <c r="L8" s="4">
        <v>3.2</v>
      </c>
      <c r="M8" s="4">
        <v>3.4</v>
      </c>
      <c r="N8" s="9">
        <f t="shared" si="1"/>
        <v>2.0666666666666669</v>
      </c>
      <c r="O8" s="9">
        <f t="shared" si="0"/>
        <v>0.5</v>
      </c>
      <c r="P8" s="9">
        <f t="shared" si="2"/>
        <v>0.29999999999999982</v>
      </c>
      <c r="Q8" s="4">
        <v>0</v>
      </c>
      <c r="R8" s="4">
        <v>1</v>
      </c>
      <c r="S8" s="8">
        <v>2.77</v>
      </c>
      <c r="T8" s="8">
        <v>3.0572500000000007</v>
      </c>
      <c r="U8" s="8">
        <v>5.8272499999999994</v>
      </c>
      <c r="V8" s="8">
        <v>0.80900000000000005</v>
      </c>
      <c r="X8" s="4">
        <v>0</v>
      </c>
      <c r="Y8" s="4">
        <v>10</v>
      </c>
      <c r="Z8" s="4">
        <v>17</v>
      </c>
      <c r="AA8" s="4">
        <v>31.9</v>
      </c>
      <c r="AB8" s="4">
        <v>0.15732299999999999</v>
      </c>
      <c r="AC8" s="4">
        <v>0</v>
      </c>
      <c r="AD8" s="4">
        <v>0</v>
      </c>
      <c r="AE8" s="5">
        <v>759373</v>
      </c>
      <c r="AF8" s="4">
        <v>0</v>
      </c>
      <c r="AG8" s="4">
        <v>0.44</v>
      </c>
      <c r="AH8" s="5">
        <v>233333</v>
      </c>
      <c r="AI8" s="4">
        <v>6387.94</v>
      </c>
      <c r="AJ8" s="4">
        <v>9526.8700000000008</v>
      </c>
      <c r="AK8" s="6">
        <v>40000000</v>
      </c>
      <c r="AL8" s="4" t="s">
        <v>280</v>
      </c>
      <c r="AM8" s="4" t="s">
        <v>285</v>
      </c>
      <c r="AN8" s="4">
        <v>1</v>
      </c>
      <c r="AO8" s="4">
        <v>1.6000000000000001E-4</v>
      </c>
      <c r="AP8" s="4">
        <v>2.3800000000000001E-4</v>
      </c>
    </row>
    <row r="9" spans="1:42" x14ac:dyDescent="0.25">
      <c r="A9" s="4" t="s">
        <v>288</v>
      </c>
      <c r="B9" s="4" t="s">
        <v>235</v>
      </c>
      <c r="C9" s="4">
        <v>1</v>
      </c>
      <c r="D9" s="4">
        <v>8</v>
      </c>
      <c r="E9" s="4">
        <v>2011</v>
      </c>
      <c r="F9" s="4">
        <v>1.9</v>
      </c>
      <c r="G9" s="4">
        <v>1.7</v>
      </c>
      <c r="H9" s="4">
        <v>2</v>
      </c>
      <c r="I9" s="4">
        <v>2</v>
      </c>
      <c r="J9" s="4">
        <v>1.7</v>
      </c>
      <c r="K9" s="4">
        <v>3.5</v>
      </c>
      <c r="L9" s="4">
        <v>3.4</v>
      </c>
      <c r="M9" s="4">
        <v>3.4</v>
      </c>
      <c r="N9" s="9">
        <f t="shared" si="1"/>
        <v>1.8</v>
      </c>
      <c r="O9" s="9">
        <f t="shared" si="0"/>
        <v>0.26666666666666683</v>
      </c>
      <c r="P9" s="9">
        <f t="shared" si="2"/>
        <v>0.60000000000000009</v>
      </c>
      <c r="Q9" s="4">
        <v>0</v>
      </c>
      <c r="R9" s="4">
        <v>0</v>
      </c>
      <c r="S9" s="8">
        <v>3.0732500000000003</v>
      </c>
      <c r="T9" s="8">
        <v>3.76925</v>
      </c>
      <c r="U9" s="8">
        <v>6.8424999999999994</v>
      </c>
      <c r="V9" s="8">
        <v>0.78425</v>
      </c>
      <c r="X9" s="4">
        <v>0</v>
      </c>
      <c r="Y9" s="4">
        <v>9</v>
      </c>
      <c r="Z9" s="4">
        <v>17</v>
      </c>
      <c r="AA9" s="4">
        <v>43.5</v>
      </c>
      <c r="AB9" s="4">
        <v>0.15732299999999999</v>
      </c>
      <c r="AC9" s="4">
        <v>0</v>
      </c>
      <c r="AD9" s="4">
        <v>0</v>
      </c>
      <c r="AE9" s="5">
        <v>570776</v>
      </c>
      <c r="AF9" s="4">
        <v>0</v>
      </c>
      <c r="AG9" s="4">
        <v>0.44</v>
      </c>
      <c r="AH9" s="5">
        <v>233333</v>
      </c>
      <c r="AI9" s="4">
        <v>11896.2</v>
      </c>
      <c r="AJ9" s="4">
        <v>13201</v>
      </c>
      <c r="AK9" s="6">
        <v>42000000</v>
      </c>
      <c r="AL9" s="4" t="s">
        <v>280</v>
      </c>
      <c r="AM9" s="4" t="s">
        <v>285</v>
      </c>
      <c r="AN9" s="4">
        <v>1</v>
      </c>
      <c r="AO9" s="4">
        <v>2.8600000000000001E-4</v>
      </c>
      <c r="AP9" s="4">
        <v>3.1700000000000001E-4</v>
      </c>
    </row>
    <row r="10" spans="1:42" x14ac:dyDescent="0.25">
      <c r="A10" s="4" t="s">
        <v>243</v>
      </c>
      <c r="B10" s="4" t="s">
        <v>235</v>
      </c>
      <c r="C10" s="4">
        <v>1</v>
      </c>
      <c r="D10" s="4">
        <v>9</v>
      </c>
      <c r="E10" s="4">
        <v>2015</v>
      </c>
      <c r="F10" s="4">
        <v>6.3</v>
      </c>
      <c r="G10" s="4">
        <v>5.9</v>
      </c>
      <c r="H10" s="4">
        <v>5.9</v>
      </c>
      <c r="I10" s="4">
        <v>3.5</v>
      </c>
      <c r="J10" s="4">
        <v>6</v>
      </c>
      <c r="K10" s="4">
        <v>2.2000000000000002</v>
      </c>
      <c r="L10" s="4">
        <v>4.3</v>
      </c>
      <c r="M10" s="4">
        <v>4.5999999999999996</v>
      </c>
      <c r="N10" s="9">
        <f t="shared" si="1"/>
        <v>5.9333333333333336</v>
      </c>
      <c r="O10" s="9">
        <f t="shared" si="0"/>
        <v>4.1333333333333337</v>
      </c>
      <c r="P10" s="9">
        <f t="shared" si="2"/>
        <v>4.4000000000000004</v>
      </c>
      <c r="Q10" s="4">
        <v>1</v>
      </c>
      <c r="R10" s="4">
        <v>1</v>
      </c>
      <c r="S10" s="8">
        <v>3.431</v>
      </c>
      <c r="T10" s="8">
        <v>3.9329999999999998</v>
      </c>
      <c r="U10" s="8">
        <v>7.3639999999999999</v>
      </c>
      <c r="V10" s="8">
        <v>0.77</v>
      </c>
      <c r="AE10" s="5"/>
      <c r="AH10" s="5"/>
      <c r="AK10" s="6"/>
    </row>
    <row r="11" spans="1:42" x14ac:dyDescent="0.25">
      <c r="A11" s="4" t="s">
        <v>244</v>
      </c>
      <c r="B11" s="4" t="s">
        <v>235</v>
      </c>
      <c r="C11" s="4">
        <v>1</v>
      </c>
      <c r="D11" s="4">
        <v>10</v>
      </c>
      <c r="E11" s="4">
        <v>2020</v>
      </c>
      <c r="F11" s="4">
        <v>3</v>
      </c>
      <c r="G11" s="4">
        <v>2.4</v>
      </c>
      <c r="H11" s="4">
        <v>3.1</v>
      </c>
      <c r="I11" s="4">
        <v>3</v>
      </c>
      <c r="J11" s="4">
        <v>3</v>
      </c>
      <c r="K11" s="4">
        <v>3.4</v>
      </c>
      <c r="L11" s="4">
        <v>3.3</v>
      </c>
      <c r="M11" s="4">
        <v>2.5</v>
      </c>
      <c r="N11" s="9">
        <f t="shared" si="1"/>
        <v>2.8333333333333335</v>
      </c>
      <c r="O11" s="9">
        <f t="shared" si="0"/>
        <v>3.1</v>
      </c>
      <c r="P11" s="9">
        <f t="shared" si="2"/>
        <v>3.3</v>
      </c>
      <c r="Q11" s="4">
        <v>1</v>
      </c>
      <c r="R11" s="4">
        <v>1</v>
      </c>
      <c r="S11" s="8">
        <v>3.431</v>
      </c>
      <c r="T11" s="8">
        <v>3.9329999999999998</v>
      </c>
      <c r="U11" s="8">
        <v>7.3639999999999999</v>
      </c>
      <c r="V11" s="4">
        <v>0.82</v>
      </c>
      <c r="AE11" s="5"/>
      <c r="AH11" s="5"/>
      <c r="AK11" s="6"/>
    </row>
    <row r="12" spans="1:42" x14ac:dyDescent="0.25">
      <c r="A12" s="4" t="s">
        <v>289</v>
      </c>
      <c r="B12" s="4" t="s">
        <v>238</v>
      </c>
      <c r="C12" s="4">
        <v>2</v>
      </c>
      <c r="D12" s="4">
        <v>1</v>
      </c>
      <c r="E12" s="4">
        <v>1982</v>
      </c>
      <c r="F12" s="4">
        <v>2.9</v>
      </c>
      <c r="G12" s="4">
        <v>2.9</v>
      </c>
      <c r="H12" s="4">
        <v>3.8</v>
      </c>
      <c r="I12" s="4">
        <v>3.1</v>
      </c>
      <c r="J12" s="4">
        <v>3.5</v>
      </c>
      <c r="K12" s="4">
        <v>3.5</v>
      </c>
      <c r="L12" s="4">
        <v>3.2</v>
      </c>
      <c r="M12" s="4">
        <v>2.7</v>
      </c>
      <c r="N12" s="9">
        <f t="shared" si="1"/>
        <v>3.4</v>
      </c>
      <c r="O12" s="9"/>
      <c r="P12" s="9"/>
      <c r="X12" s="4">
        <v>0</v>
      </c>
      <c r="Y12" s="4">
        <v>9</v>
      </c>
      <c r="Z12" s="4">
        <v>16</v>
      </c>
      <c r="AA12" s="4">
        <v>21.69</v>
      </c>
      <c r="AB12" s="4">
        <v>0.215449</v>
      </c>
      <c r="AC12" s="4">
        <v>0</v>
      </c>
      <c r="AD12" s="4">
        <v>0</v>
      </c>
      <c r="AE12" s="5">
        <v>-598573</v>
      </c>
      <c r="AF12" s="4">
        <v>1</v>
      </c>
      <c r="AG12" s="4">
        <v>0.55000000000000004</v>
      </c>
      <c r="AH12" s="5">
        <v>332143</v>
      </c>
      <c r="AI12" s="4">
        <v>0.73</v>
      </c>
      <c r="AJ12" s="4">
        <v>257.16000000000003</v>
      </c>
      <c r="AK12" s="6">
        <v>5800000</v>
      </c>
      <c r="AL12" s="4" t="s">
        <v>290</v>
      </c>
      <c r="AM12" s="4" t="s">
        <v>281</v>
      </c>
      <c r="AN12" s="4">
        <v>3</v>
      </c>
      <c r="AO12" s="6">
        <v>1.3E-7</v>
      </c>
      <c r="AP12" s="4">
        <v>4.3999999999999999E-5</v>
      </c>
    </row>
    <row r="13" spans="1:42" x14ac:dyDescent="0.25">
      <c r="A13" s="4" t="s">
        <v>291</v>
      </c>
      <c r="B13" s="4" t="s">
        <v>238</v>
      </c>
      <c r="C13" s="4">
        <v>2</v>
      </c>
      <c r="D13" s="4">
        <v>2</v>
      </c>
      <c r="E13" s="4">
        <v>1985</v>
      </c>
      <c r="F13" s="4">
        <v>5.8</v>
      </c>
      <c r="G13" s="4">
        <v>5.8</v>
      </c>
      <c r="H13" s="4">
        <v>5.6</v>
      </c>
      <c r="I13" s="4">
        <v>5.8</v>
      </c>
      <c r="J13" s="4">
        <v>6</v>
      </c>
      <c r="K13" s="4">
        <v>2.7</v>
      </c>
      <c r="L13" s="4">
        <v>3.4</v>
      </c>
      <c r="M13" s="4">
        <v>4.3</v>
      </c>
      <c r="N13" s="9">
        <f t="shared" si="1"/>
        <v>5.8</v>
      </c>
      <c r="O13" s="9">
        <f t="shared" ref="O13:O21" si="3">IF(B13=B12,SQRT((N13-N12)^2)," ")</f>
        <v>2.4</v>
      </c>
      <c r="P13" s="9">
        <f t="shared" si="2"/>
        <v>2.9</v>
      </c>
      <c r="X13" s="4">
        <v>1</v>
      </c>
      <c r="Y13" s="4">
        <v>9</v>
      </c>
      <c r="Z13" s="4">
        <v>16</v>
      </c>
      <c r="AA13" s="4">
        <v>48.92</v>
      </c>
      <c r="AB13" s="4">
        <v>0.215449</v>
      </c>
      <c r="AC13" s="4">
        <v>0</v>
      </c>
      <c r="AD13" s="4">
        <v>0</v>
      </c>
      <c r="AE13" s="5">
        <v>-377606</v>
      </c>
      <c r="AF13" s="4">
        <v>0.4</v>
      </c>
      <c r="AG13" s="4">
        <v>0.51</v>
      </c>
      <c r="AH13" s="5">
        <v>332143</v>
      </c>
      <c r="AI13" s="4">
        <v>0</v>
      </c>
      <c r="AJ13" s="4">
        <v>241.97</v>
      </c>
      <c r="AK13" s="6">
        <v>6200000</v>
      </c>
      <c r="AL13" s="4" t="s">
        <v>292</v>
      </c>
      <c r="AM13" s="4" t="s">
        <v>281</v>
      </c>
      <c r="AN13" s="4">
        <v>3</v>
      </c>
      <c r="AO13" s="4">
        <v>0</v>
      </c>
      <c r="AP13" s="4">
        <v>3.8999999999999999E-5</v>
      </c>
    </row>
    <row r="14" spans="1:42" x14ac:dyDescent="0.25">
      <c r="A14" s="4" t="s">
        <v>293</v>
      </c>
      <c r="B14" s="4" t="s">
        <v>238</v>
      </c>
      <c r="C14" s="4">
        <v>2</v>
      </c>
      <c r="D14" s="4">
        <v>3</v>
      </c>
      <c r="E14" s="4">
        <v>1989</v>
      </c>
      <c r="F14" s="4">
        <v>4.8</v>
      </c>
      <c r="G14" s="4">
        <v>5.4</v>
      </c>
      <c r="H14" s="4">
        <v>5</v>
      </c>
      <c r="I14" s="4">
        <v>5</v>
      </c>
      <c r="J14" s="4">
        <v>5.8</v>
      </c>
      <c r="K14" s="4">
        <v>3</v>
      </c>
      <c r="L14" s="4">
        <v>3.8</v>
      </c>
      <c r="M14" s="4">
        <v>4.2</v>
      </c>
      <c r="N14" s="9">
        <f t="shared" si="1"/>
        <v>5.3999999999999995</v>
      </c>
      <c r="O14" s="9">
        <f t="shared" si="3"/>
        <v>0.40000000000000036</v>
      </c>
      <c r="P14" s="9">
        <f t="shared" si="2"/>
        <v>1</v>
      </c>
      <c r="X14" s="4">
        <v>0</v>
      </c>
      <c r="Y14" s="4">
        <v>9</v>
      </c>
      <c r="Z14" s="4">
        <v>16</v>
      </c>
      <c r="AA14" s="4">
        <v>31.46</v>
      </c>
      <c r="AB14" s="4">
        <v>0.215449</v>
      </c>
      <c r="AC14" s="4">
        <v>1</v>
      </c>
      <c r="AD14" s="4">
        <v>0</v>
      </c>
      <c r="AE14" s="5">
        <v>147134</v>
      </c>
      <c r="AF14" s="4">
        <v>0</v>
      </c>
      <c r="AG14" s="4">
        <v>0.51</v>
      </c>
      <c r="AH14" s="5">
        <v>332143</v>
      </c>
      <c r="AI14" s="4">
        <v>2.67</v>
      </c>
      <c r="AJ14" s="4">
        <v>275.48</v>
      </c>
      <c r="AK14" s="6">
        <v>6700000</v>
      </c>
      <c r="AL14" s="4" t="s">
        <v>290</v>
      </c>
      <c r="AM14" s="4" t="s">
        <v>281</v>
      </c>
      <c r="AN14" s="4">
        <v>3</v>
      </c>
      <c r="AO14" s="6">
        <v>3.9999999999999998E-7</v>
      </c>
      <c r="AP14" s="4">
        <v>4.1E-5</v>
      </c>
    </row>
    <row r="15" spans="1:42" x14ac:dyDescent="0.25">
      <c r="A15" s="4" t="s">
        <v>294</v>
      </c>
      <c r="B15" s="4" t="s">
        <v>238</v>
      </c>
      <c r="C15" s="4">
        <v>2</v>
      </c>
      <c r="D15" s="4">
        <v>4</v>
      </c>
      <c r="E15" s="4">
        <v>1993</v>
      </c>
      <c r="F15" s="4">
        <v>5.9</v>
      </c>
      <c r="G15" s="4">
        <v>6.4</v>
      </c>
      <c r="H15" s="4">
        <v>6.1</v>
      </c>
      <c r="I15" s="4">
        <v>5.6</v>
      </c>
      <c r="J15" s="4">
        <v>6.7</v>
      </c>
      <c r="K15" s="4">
        <v>2.4</v>
      </c>
      <c r="L15" s="4">
        <v>3.9</v>
      </c>
      <c r="M15" s="4">
        <v>4.5999999999999996</v>
      </c>
      <c r="N15" s="9">
        <f t="shared" si="1"/>
        <v>6.3999999999999995</v>
      </c>
      <c r="O15" s="9">
        <f t="shared" si="3"/>
        <v>1</v>
      </c>
      <c r="P15" s="9">
        <f t="shared" si="2"/>
        <v>1.1000000000000005</v>
      </c>
      <c r="X15" s="4">
        <v>0</v>
      </c>
      <c r="Y15" s="4">
        <v>8.75</v>
      </c>
      <c r="Z15" s="4">
        <v>16</v>
      </c>
      <c r="AA15" s="4">
        <v>34.96</v>
      </c>
      <c r="AB15" s="4">
        <v>0.215449</v>
      </c>
      <c r="AC15" s="4">
        <v>0</v>
      </c>
      <c r="AD15" s="4">
        <v>0</v>
      </c>
      <c r="AE15" s="5">
        <v>187171</v>
      </c>
      <c r="AF15" s="4">
        <v>0.25</v>
      </c>
      <c r="AG15" s="4">
        <v>0.51</v>
      </c>
      <c r="AH15" s="5">
        <v>332143</v>
      </c>
      <c r="AI15" s="4">
        <v>4.03</v>
      </c>
      <c r="AJ15" s="4">
        <v>458.27</v>
      </c>
      <c r="AK15" s="6">
        <v>7300000</v>
      </c>
      <c r="AL15" s="4" t="s">
        <v>295</v>
      </c>
      <c r="AM15" s="4" t="s">
        <v>296</v>
      </c>
      <c r="AN15" s="4">
        <v>4</v>
      </c>
      <c r="AO15" s="6">
        <v>5.5000000000000003E-7</v>
      </c>
      <c r="AP15" s="4">
        <v>6.3E-5</v>
      </c>
    </row>
    <row r="16" spans="1:42" x14ac:dyDescent="0.25">
      <c r="A16" s="4" t="s">
        <v>297</v>
      </c>
      <c r="B16" s="4" t="s">
        <v>238</v>
      </c>
      <c r="C16" s="4">
        <v>2</v>
      </c>
      <c r="D16" s="4">
        <v>5</v>
      </c>
      <c r="E16" s="4">
        <v>1997</v>
      </c>
      <c r="F16" s="4">
        <v>6.5</v>
      </c>
      <c r="G16" s="4">
        <v>6.4</v>
      </c>
      <c r="H16" s="4">
        <v>6.3</v>
      </c>
      <c r="I16" s="4">
        <v>5.5</v>
      </c>
      <c r="J16" s="4">
        <v>6.7</v>
      </c>
      <c r="K16" s="4">
        <v>2.2999999999999998</v>
      </c>
      <c r="L16" s="4">
        <v>3</v>
      </c>
      <c r="M16" s="4">
        <v>4.2</v>
      </c>
      <c r="N16" s="9">
        <f t="shared" si="1"/>
        <v>6.4666666666666659</v>
      </c>
      <c r="O16" s="9">
        <f t="shared" si="3"/>
        <v>6.666666666666643E-2</v>
      </c>
      <c r="P16" s="9">
        <f t="shared" si="2"/>
        <v>0.59999999999999964</v>
      </c>
      <c r="X16" s="4">
        <v>0</v>
      </c>
      <c r="Y16" s="4">
        <v>10</v>
      </c>
      <c r="Z16" s="4">
        <v>16</v>
      </c>
      <c r="AA16" s="4">
        <v>27.79</v>
      </c>
      <c r="AB16" s="4">
        <v>0.215449</v>
      </c>
      <c r="AC16" s="4">
        <v>0</v>
      </c>
      <c r="AD16" s="4">
        <v>0</v>
      </c>
      <c r="AE16" s="5">
        <v>27328</v>
      </c>
      <c r="AF16" s="4">
        <v>0.41666700000000001</v>
      </c>
      <c r="AG16" s="4">
        <v>0.51</v>
      </c>
      <c r="AH16" s="5">
        <v>332143</v>
      </c>
      <c r="AI16" s="4">
        <v>10.61</v>
      </c>
      <c r="AJ16" s="4">
        <v>677.03</v>
      </c>
      <c r="AK16" s="6">
        <v>7900000</v>
      </c>
      <c r="AL16" s="4" t="s">
        <v>298</v>
      </c>
      <c r="AM16" s="4" t="s">
        <v>281</v>
      </c>
      <c r="AN16" s="4">
        <v>3</v>
      </c>
      <c r="AO16" s="6">
        <v>1.3E-6</v>
      </c>
      <c r="AP16" s="4">
        <v>8.6000000000000003E-5</v>
      </c>
    </row>
    <row r="17" spans="1:42" x14ac:dyDescent="0.25">
      <c r="A17" s="4" t="s">
        <v>299</v>
      </c>
      <c r="B17" s="4" t="s">
        <v>238</v>
      </c>
      <c r="C17" s="4">
        <v>2</v>
      </c>
      <c r="D17" s="4">
        <v>6</v>
      </c>
      <c r="E17" s="4">
        <v>2003</v>
      </c>
      <c r="F17" s="4">
        <v>4.5</v>
      </c>
      <c r="G17" s="4">
        <v>5.4</v>
      </c>
      <c r="H17" s="4">
        <v>4.9000000000000004</v>
      </c>
      <c r="I17" s="4">
        <v>4.3</v>
      </c>
      <c r="J17" s="4">
        <v>5</v>
      </c>
      <c r="K17" s="4">
        <v>3.4</v>
      </c>
      <c r="L17" s="4">
        <v>3.8</v>
      </c>
      <c r="M17" s="4">
        <v>3.6</v>
      </c>
      <c r="N17" s="9">
        <f t="shared" si="1"/>
        <v>5.1000000000000005</v>
      </c>
      <c r="O17" s="9">
        <f t="shared" si="3"/>
        <v>1.3666666666666654</v>
      </c>
      <c r="P17" s="9">
        <f t="shared" si="2"/>
        <v>2</v>
      </c>
      <c r="Q17" s="4">
        <v>1</v>
      </c>
      <c r="R17" s="4">
        <v>1</v>
      </c>
      <c r="S17" s="8">
        <v>2.2829999999999999</v>
      </c>
      <c r="T17" s="8">
        <v>3.1339999999999999</v>
      </c>
      <c r="U17" s="8">
        <f>S17+T17</f>
        <v>5.4169999999999998</v>
      </c>
      <c r="V17" s="8">
        <v>0.74</v>
      </c>
      <c r="X17" s="4">
        <v>0</v>
      </c>
      <c r="Y17" s="4">
        <v>8</v>
      </c>
      <c r="Z17" s="4">
        <v>16</v>
      </c>
      <c r="AA17" s="4">
        <v>35.85</v>
      </c>
      <c r="AB17" s="4">
        <v>0.215449</v>
      </c>
      <c r="AC17" s="4">
        <v>0</v>
      </c>
      <c r="AD17" s="4">
        <v>0</v>
      </c>
      <c r="AE17" s="4">
        <v>0.69089299999999998</v>
      </c>
      <c r="AF17" s="4">
        <v>0.2</v>
      </c>
      <c r="AG17" s="4">
        <v>0.52</v>
      </c>
      <c r="AH17" s="5">
        <v>332143</v>
      </c>
      <c r="AI17" s="4">
        <v>98.18</v>
      </c>
      <c r="AJ17" s="4">
        <v>501.57</v>
      </c>
      <c r="AK17" s="6">
        <v>8800000</v>
      </c>
      <c r="AL17" s="4" t="s">
        <v>300</v>
      </c>
      <c r="AM17" s="4" t="s">
        <v>301</v>
      </c>
      <c r="AN17" s="4">
        <v>0</v>
      </c>
      <c r="AO17" s="4">
        <v>1.1E-5</v>
      </c>
      <c r="AP17" s="4">
        <v>5.7000000000000003E-5</v>
      </c>
    </row>
    <row r="18" spans="1:42" x14ac:dyDescent="0.25">
      <c r="A18" s="4" t="s">
        <v>302</v>
      </c>
      <c r="B18" s="4" t="s">
        <v>238</v>
      </c>
      <c r="C18" s="4">
        <v>2</v>
      </c>
      <c r="D18" s="4">
        <v>7</v>
      </c>
      <c r="E18" s="4">
        <v>2006</v>
      </c>
      <c r="F18" s="4">
        <v>2.2000000000000002</v>
      </c>
      <c r="G18" s="4">
        <v>3.2</v>
      </c>
      <c r="H18" s="4">
        <v>1.7</v>
      </c>
      <c r="I18" s="4">
        <v>2</v>
      </c>
      <c r="J18" s="4">
        <v>1.3</v>
      </c>
      <c r="K18" s="4">
        <v>4.9000000000000004</v>
      </c>
      <c r="L18" s="4">
        <v>4.5</v>
      </c>
      <c r="M18" s="4">
        <v>3.8</v>
      </c>
      <c r="N18" s="9">
        <f t="shared" si="1"/>
        <v>2.0666666666666669</v>
      </c>
      <c r="O18" s="9">
        <f t="shared" si="3"/>
        <v>3.0333333333333337</v>
      </c>
      <c r="P18" s="9">
        <f t="shared" si="2"/>
        <v>2.2999999999999998</v>
      </c>
      <c r="Q18" s="4">
        <v>1</v>
      </c>
      <c r="R18" s="4">
        <v>1</v>
      </c>
      <c r="S18" s="8">
        <v>3.21</v>
      </c>
      <c r="T18" s="8">
        <v>3.68</v>
      </c>
      <c r="U18" s="8">
        <f t="shared" ref="U18:U22" si="4">S18+T18</f>
        <v>6.8900000000000006</v>
      </c>
      <c r="V18" s="8">
        <v>0.74</v>
      </c>
      <c r="X18" s="4">
        <v>1</v>
      </c>
      <c r="Y18" s="4">
        <v>8</v>
      </c>
      <c r="Z18" s="4">
        <v>16</v>
      </c>
      <c r="AA18" s="4">
        <v>65.14</v>
      </c>
      <c r="AB18" s="4">
        <v>0.215449</v>
      </c>
      <c r="AC18" s="4">
        <v>0</v>
      </c>
      <c r="AD18" s="4">
        <v>0</v>
      </c>
      <c r="AE18" s="5">
        <v>264427</v>
      </c>
      <c r="AF18" s="4">
        <v>0.33333299999999999</v>
      </c>
      <c r="AG18" s="4">
        <v>0.62</v>
      </c>
      <c r="AH18" s="5">
        <v>332143</v>
      </c>
      <c r="AI18" s="4">
        <v>119.91</v>
      </c>
      <c r="AJ18" s="4">
        <v>614.54</v>
      </c>
      <c r="AK18" s="6">
        <v>9300000</v>
      </c>
      <c r="AL18" s="4" t="s">
        <v>300</v>
      </c>
      <c r="AM18" s="4" t="s">
        <v>301</v>
      </c>
      <c r="AN18" s="4">
        <v>0</v>
      </c>
      <c r="AO18" s="4">
        <v>1.2999999999999999E-5</v>
      </c>
      <c r="AP18" s="4">
        <v>6.6000000000000005E-5</v>
      </c>
    </row>
    <row r="19" spans="1:42" x14ac:dyDescent="0.25">
      <c r="A19" s="4" t="s">
        <v>303</v>
      </c>
      <c r="B19" s="4" t="s">
        <v>238</v>
      </c>
      <c r="C19" s="4">
        <v>2</v>
      </c>
      <c r="D19" s="4">
        <v>8</v>
      </c>
      <c r="E19" s="4">
        <v>2010</v>
      </c>
      <c r="F19" s="4">
        <v>2.9</v>
      </c>
      <c r="G19" s="4">
        <v>3.6</v>
      </c>
      <c r="H19" s="4">
        <v>2.2000000000000002</v>
      </c>
      <c r="I19" s="4">
        <v>2.8</v>
      </c>
      <c r="J19" s="4">
        <v>1.7</v>
      </c>
      <c r="K19" s="4">
        <v>4.8</v>
      </c>
      <c r="L19" s="4">
        <v>4.5999999999999996</v>
      </c>
      <c r="M19" s="4">
        <v>3.9</v>
      </c>
      <c r="N19" s="9">
        <f t="shared" si="1"/>
        <v>2.5000000000000004</v>
      </c>
      <c r="O19" s="9">
        <f t="shared" si="3"/>
        <v>0.43333333333333357</v>
      </c>
      <c r="P19" s="9">
        <f t="shared" si="2"/>
        <v>0.69999999999999973</v>
      </c>
      <c r="Q19" s="4">
        <v>0</v>
      </c>
      <c r="R19" s="4">
        <v>1</v>
      </c>
      <c r="S19" s="8">
        <v>2.97</v>
      </c>
      <c r="T19" s="8">
        <v>3.47</v>
      </c>
      <c r="U19" s="8">
        <f t="shared" si="4"/>
        <v>6.44</v>
      </c>
      <c r="V19" s="8">
        <v>0.68</v>
      </c>
      <c r="X19" s="4">
        <v>0</v>
      </c>
      <c r="Y19" s="4">
        <v>8</v>
      </c>
      <c r="Z19" s="4">
        <v>18</v>
      </c>
      <c r="AA19" s="4">
        <v>37.9</v>
      </c>
      <c r="AB19" s="4">
        <v>0.215449</v>
      </c>
      <c r="AC19" s="4">
        <v>0</v>
      </c>
      <c r="AD19" s="4">
        <v>0</v>
      </c>
      <c r="AE19" s="5">
        <v>158863</v>
      </c>
      <c r="AF19" s="4">
        <v>0.66666700000000001</v>
      </c>
      <c r="AG19" s="4">
        <v>0.56999999999999995</v>
      </c>
      <c r="AH19" s="5">
        <v>332143</v>
      </c>
      <c r="AI19" s="4">
        <v>292.41000000000003</v>
      </c>
      <c r="AJ19" s="4">
        <v>997.48</v>
      </c>
      <c r="AK19" s="6">
        <v>9900000</v>
      </c>
      <c r="AL19" s="4" t="s">
        <v>300</v>
      </c>
      <c r="AM19" s="4" t="s">
        <v>301</v>
      </c>
      <c r="AN19" s="4">
        <v>0</v>
      </c>
      <c r="AO19" s="4">
        <v>2.9E-5</v>
      </c>
      <c r="AP19" s="4">
        <v>1.01E-4</v>
      </c>
    </row>
    <row r="20" spans="1:42" x14ac:dyDescent="0.25">
      <c r="A20" s="4" t="s">
        <v>425</v>
      </c>
      <c r="B20" s="4" t="s">
        <v>238</v>
      </c>
      <c r="C20" s="4">
        <v>2</v>
      </c>
      <c r="D20" s="4">
        <v>9</v>
      </c>
      <c r="E20" s="4">
        <v>2015</v>
      </c>
      <c r="F20" s="4">
        <v>4</v>
      </c>
      <c r="G20" s="4">
        <v>4</v>
      </c>
      <c r="H20" s="4">
        <v>3</v>
      </c>
      <c r="I20" s="4">
        <v>5</v>
      </c>
      <c r="J20" s="4">
        <v>1</v>
      </c>
      <c r="K20" s="4">
        <v>4</v>
      </c>
      <c r="L20" s="4">
        <v>4</v>
      </c>
      <c r="M20" s="4">
        <v>4</v>
      </c>
      <c r="N20" s="9">
        <f t="shared" si="1"/>
        <v>2.6666666666666665</v>
      </c>
      <c r="O20" s="9">
        <f t="shared" si="3"/>
        <v>0.16666666666666607</v>
      </c>
      <c r="P20" s="9">
        <f t="shared" si="2"/>
        <v>1.1000000000000001</v>
      </c>
      <c r="Q20" s="4">
        <v>0</v>
      </c>
      <c r="R20" s="4">
        <v>1</v>
      </c>
      <c r="S20" s="8">
        <v>3.3</v>
      </c>
      <c r="T20" s="8">
        <v>3.8</v>
      </c>
      <c r="U20" s="8">
        <f t="shared" si="4"/>
        <v>7.1</v>
      </c>
      <c r="V20" s="8">
        <v>0.6</v>
      </c>
      <c r="AE20" s="5"/>
      <c r="AH20" s="5"/>
      <c r="AK20" s="6"/>
    </row>
    <row r="21" spans="1:42" x14ac:dyDescent="0.25">
      <c r="A21" s="4" t="s">
        <v>426</v>
      </c>
      <c r="B21" s="4" t="s">
        <v>238</v>
      </c>
      <c r="C21" s="4">
        <v>2</v>
      </c>
      <c r="D21" s="4">
        <v>10</v>
      </c>
      <c r="E21" s="4">
        <v>2019</v>
      </c>
      <c r="F21" s="4">
        <v>7</v>
      </c>
      <c r="G21" s="4">
        <v>7</v>
      </c>
      <c r="H21" s="4">
        <v>7</v>
      </c>
      <c r="I21" s="4">
        <v>2</v>
      </c>
      <c r="J21" s="4">
        <v>7</v>
      </c>
      <c r="K21" s="4">
        <v>2</v>
      </c>
      <c r="L21" s="4">
        <v>2</v>
      </c>
      <c r="M21" s="4">
        <v>2</v>
      </c>
      <c r="N21" s="9">
        <f t="shared" si="1"/>
        <v>7</v>
      </c>
      <c r="O21" s="9">
        <f t="shared" si="3"/>
        <v>4.3333333333333339</v>
      </c>
      <c r="P21" s="9">
        <f t="shared" si="2"/>
        <v>3</v>
      </c>
      <c r="Q21" s="4">
        <v>1</v>
      </c>
      <c r="R21" s="4">
        <v>1</v>
      </c>
      <c r="S21" s="4">
        <v>3.99</v>
      </c>
      <c r="T21" s="4">
        <v>3.98</v>
      </c>
      <c r="U21" s="8">
        <f t="shared" si="4"/>
        <v>7.9700000000000006</v>
      </c>
      <c r="V21" s="4">
        <v>0.33</v>
      </c>
      <c r="AE21" s="5"/>
      <c r="AH21" s="5"/>
      <c r="AK21" s="6"/>
    </row>
    <row r="22" spans="1:42" x14ac:dyDescent="0.25">
      <c r="A22" s="4" t="s">
        <v>427</v>
      </c>
      <c r="B22" s="4" t="s">
        <v>238</v>
      </c>
      <c r="C22" s="4">
        <v>2</v>
      </c>
      <c r="D22" s="4">
        <v>11</v>
      </c>
      <c r="E22" s="4">
        <v>2020</v>
      </c>
      <c r="F22" s="4">
        <v>5</v>
      </c>
      <c r="G22" s="4">
        <v>4</v>
      </c>
      <c r="H22" s="4">
        <v>4</v>
      </c>
      <c r="I22" s="4">
        <v>5</v>
      </c>
      <c r="J22" s="4">
        <v>2</v>
      </c>
      <c r="K22" s="4">
        <v>4</v>
      </c>
      <c r="L22" s="4">
        <v>4</v>
      </c>
      <c r="M22" s="4">
        <v>3</v>
      </c>
      <c r="N22" s="9">
        <f t="shared" si="1"/>
        <v>3.3333333333333335</v>
      </c>
      <c r="O22" s="9">
        <f t="shared" ref="O22:O67" si="5">IF(B22=B21,SQRT((N22-N21)^2)," ")</f>
        <v>3.6666666666666665</v>
      </c>
      <c r="P22" s="9">
        <f t="shared" si="2"/>
        <v>2</v>
      </c>
      <c r="Q22" s="4">
        <v>1</v>
      </c>
      <c r="R22" s="4">
        <v>1</v>
      </c>
      <c r="S22" s="4">
        <v>3.8</v>
      </c>
      <c r="T22" s="4">
        <v>3.93</v>
      </c>
      <c r="U22" s="8">
        <f t="shared" si="4"/>
        <v>7.73</v>
      </c>
      <c r="V22" s="4">
        <v>0.62</v>
      </c>
      <c r="AE22" s="5"/>
      <c r="AH22" s="5"/>
      <c r="AK22" s="6"/>
    </row>
    <row r="23" spans="1:42" x14ac:dyDescent="0.25">
      <c r="A23" s="4" t="s">
        <v>304</v>
      </c>
      <c r="B23" s="4" t="s">
        <v>217</v>
      </c>
      <c r="C23" s="4">
        <v>3</v>
      </c>
      <c r="D23" s="4">
        <v>1</v>
      </c>
      <c r="E23" s="4">
        <v>1985</v>
      </c>
      <c r="F23" s="4">
        <v>5.1100000000000003</v>
      </c>
      <c r="G23" s="4">
        <v>3.44</v>
      </c>
      <c r="H23" s="4">
        <v>4.5599999999999996</v>
      </c>
      <c r="I23" s="4">
        <v>4.33</v>
      </c>
      <c r="J23" s="4">
        <v>3.78</v>
      </c>
      <c r="K23" s="4">
        <v>3.44</v>
      </c>
      <c r="L23" s="4">
        <v>2.89</v>
      </c>
      <c r="M23" s="4">
        <v>3.44</v>
      </c>
      <c r="N23" s="9">
        <f t="shared" si="1"/>
        <v>3.9266666666666663</v>
      </c>
      <c r="O23" s="9"/>
      <c r="P23" s="9"/>
      <c r="X23" s="4">
        <v>0</v>
      </c>
      <c r="Y23" s="4">
        <v>9.6</v>
      </c>
      <c r="Z23" s="4">
        <v>19.5</v>
      </c>
      <c r="AA23" s="4">
        <v>13.8</v>
      </c>
      <c r="AB23" s="4">
        <v>0.25836799999999999</v>
      </c>
      <c r="AC23" s="4">
        <v>0</v>
      </c>
      <c r="AD23" s="4">
        <v>0</v>
      </c>
      <c r="AE23" s="5">
        <v>567179</v>
      </c>
      <c r="AF23" s="4">
        <v>0</v>
      </c>
      <c r="AG23" s="4">
        <v>0.56000000000000005</v>
      </c>
      <c r="AH23" s="5">
        <v>426786</v>
      </c>
      <c r="AI23" s="4">
        <v>1524.26</v>
      </c>
      <c r="AJ23" s="4">
        <v>11254.3</v>
      </c>
      <c r="AK23" s="6">
        <v>140000000</v>
      </c>
      <c r="AL23" s="4" t="s">
        <v>305</v>
      </c>
      <c r="AM23" s="4" t="s">
        <v>278</v>
      </c>
      <c r="AN23" s="4">
        <v>2</v>
      </c>
      <c r="AO23" s="4">
        <v>1.1E-5</v>
      </c>
      <c r="AP23" s="4">
        <v>8.2000000000000001E-5</v>
      </c>
    </row>
    <row r="24" spans="1:42" x14ac:dyDescent="0.25">
      <c r="A24" s="4" t="s">
        <v>306</v>
      </c>
      <c r="B24" s="4" t="s">
        <v>217</v>
      </c>
      <c r="C24" s="4">
        <v>3</v>
      </c>
      <c r="D24" s="4">
        <v>2</v>
      </c>
      <c r="E24" s="4">
        <v>1990</v>
      </c>
      <c r="F24" s="4">
        <v>5.67</v>
      </c>
      <c r="G24" s="4">
        <v>6.11</v>
      </c>
      <c r="H24" s="4">
        <v>6</v>
      </c>
      <c r="I24" s="4">
        <v>3.11</v>
      </c>
      <c r="J24" s="4">
        <v>5.44</v>
      </c>
      <c r="K24" s="4">
        <v>2.56</v>
      </c>
      <c r="L24" s="4">
        <v>3.44</v>
      </c>
      <c r="M24" s="4">
        <v>4.1100000000000003</v>
      </c>
      <c r="N24" s="9">
        <f t="shared" si="1"/>
        <v>5.8500000000000005</v>
      </c>
      <c r="O24" s="9">
        <f t="shared" ref="O24:O32" si="6">IF(B24=B23,SQRT((N24-N23)^2)," ")</f>
        <v>1.9233333333333342</v>
      </c>
      <c r="P24" s="9">
        <f t="shared" si="2"/>
        <v>0.55999999999999961</v>
      </c>
      <c r="X24" s="4">
        <v>0</v>
      </c>
      <c r="Y24" s="4">
        <v>9</v>
      </c>
      <c r="Z24" s="4">
        <v>20</v>
      </c>
      <c r="AA24" s="4">
        <v>35.619999999999997</v>
      </c>
      <c r="AB24" s="4">
        <v>0.25836799999999999</v>
      </c>
      <c r="AC24" s="4">
        <v>1</v>
      </c>
      <c r="AD24" s="4">
        <v>0</v>
      </c>
      <c r="AE24" s="5">
        <v>-593757</v>
      </c>
      <c r="AF24" s="4">
        <v>0.1</v>
      </c>
      <c r="AG24" s="4">
        <v>0.51</v>
      </c>
      <c r="AH24" s="5">
        <v>426786</v>
      </c>
      <c r="AI24" s="4">
        <v>737.5</v>
      </c>
      <c r="AJ24" s="4">
        <v>13541.2</v>
      </c>
      <c r="AK24" s="6">
        <v>150000000</v>
      </c>
      <c r="AL24" s="4" t="s">
        <v>307</v>
      </c>
      <c r="AM24" s="4" t="s">
        <v>281</v>
      </c>
      <c r="AN24" s="4">
        <v>3</v>
      </c>
      <c r="AO24" s="6">
        <v>4.8999999999999997E-6</v>
      </c>
      <c r="AP24" s="4">
        <v>9.0000000000000006E-5</v>
      </c>
    </row>
    <row r="25" spans="1:42" x14ac:dyDescent="0.25">
      <c r="A25" s="4" t="s">
        <v>308</v>
      </c>
      <c r="B25" s="4" t="s">
        <v>217</v>
      </c>
      <c r="C25" s="4">
        <v>3</v>
      </c>
      <c r="D25" s="4">
        <v>3</v>
      </c>
      <c r="E25" s="4">
        <v>1992</v>
      </c>
      <c r="F25" s="4">
        <v>4.4400000000000004</v>
      </c>
      <c r="G25" s="4">
        <v>4.78</v>
      </c>
      <c r="H25" s="4">
        <v>4.67</v>
      </c>
      <c r="I25" s="4">
        <v>3.89</v>
      </c>
      <c r="J25" s="4">
        <v>4.4400000000000004</v>
      </c>
      <c r="K25" s="4">
        <v>3.22</v>
      </c>
      <c r="L25" s="4">
        <v>2.33</v>
      </c>
      <c r="M25" s="4">
        <v>3.44</v>
      </c>
      <c r="N25" s="9">
        <f t="shared" si="1"/>
        <v>4.63</v>
      </c>
      <c r="O25" s="9">
        <f t="shared" si="6"/>
        <v>1.2200000000000006</v>
      </c>
      <c r="P25" s="9">
        <f t="shared" si="2"/>
        <v>1.2299999999999995</v>
      </c>
      <c r="X25" s="4">
        <v>1</v>
      </c>
      <c r="Y25" s="4">
        <v>8</v>
      </c>
      <c r="Z25" s="4">
        <v>20</v>
      </c>
      <c r="AA25" s="4">
        <v>35.619999999999997</v>
      </c>
      <c r="AB25" s="4">
        <v>0.25836799999999999</v>
      </c>
      <c r="AC25" s="4">
        <v>0</v>
      </c>
      <c r="AD25" s="4">
        <v>0</v>
      </c>
      <c r="AE25" s="5">
        <v>-2029</v>
      </c>
      <c r="AF25" s="4">
        <v>0</v>
      </c>
      <c r="AG25" s="4">
        <v>0.41</v>
      </c>
      <c r="AH25" s="5">
        <v>426786</v>
      </c>
      <c r="AI25" s="4">
        <v>573.84</v>
      </c>
      <c r="AJ25" s="4">
        <v>13689.9</v>
      </c>
      <c r="AK25" s="6">
        <v>160000000</v>
      </c>
      <c r="AL25" s="4" t="s">
        <v>309</v>
      </c>
      <c r="AM25" s="4" t="s">
        <v>278</v>
      </c>
      <c r="AN25" s="4">
        <v>2</v>
      </c>
      <c r="AO25" s="6">
        <v>3.7000000000000002E-6</v>
      </c>
      <c r="AP25" s="4">
        <v>8.7999999999999998E-5</v>
      </c>
    </row>
    <row r="26" spans="1:42" x14ac:dyDescent="0.25">
      <c r="A26" s="4" t="s">
        <v>310</v>
      </c>
      <c r="B26" s="4" t="s">
        <v>217</v>
      </c>
      <c r="C26" s="4">
        <v>3</v>
      </c>
      <c r="D26" s="4">
        <v>4</v>
      </c>
      <c r="E26" s="4">
        <v>1995</v>
      </c>
      <c r="F26" s="4">
        <v>4.78</v>
      </c>
      <c r="G26" s="4">
        <v>5</v>
      </c>
      <c r="H26" s="4">
        <v>5</v>
      </c>
      <c r="I26" s="4">
        <v>3.67</v>
      </c>
      <c r="J26" s="4">
        <v>4.67</v>
      </c>
      <c r="K26" s="4">
        <v>3.33</v>
      </c>
      <c r="L26" s="4">
        <v>4.5599999999999996</v>
      </c>
      <c r="M26" s="4">
        <v>4.67</v>
      </c>
      <c r="N26" s="9">
        <f t="shared" si="1"/>
        <v>4.8899999999999997</v>
      </c>
      <c r="O26" s="9">
        <f t="shared" si="6"/>
        <v>0.25999999999999979</v>
      </c>
      <c r="P26" s="9">
        <f t="shared" si="2"/>
        <v>0.33999999999999986</v>
      </c>
      <c r="X26" s="4">
        <v>0</v>
      </c>
      <c r="Y26" s="4">
        <v>7.5</v>
      </c>
      <c r="Z26" s="4">
        <v>18.5</v>
      </c>
      <c r="AA26" s="4">
        <v>18.57</v>
      </c>
      <c r="AB26" s="4">
        <v>0.25836799999999999</v>
      </c>
      <c r="AC26" s="4">
        <v>0</v>
      </c>
      <c r="AD26" s="4">
        <v>0</v>
      </c>
      <c r="AE26" s="5">
        <v>28505</v>
      </c>
      <c r="AF26" s="4">
        <v>0</v>
      </c>
      <c r="AG26" s="4">
        <v>0.36</v>
      </c>
      <c r="AH26" s="5">
        <v>426786</v>
      </c>
      <c r="AI26" s="4">
        <v>2371.06</v>
      </c>
      <c r="AJ26" s="4">
        <v>20927.099999999999</v>
      </c>
      <c r="AK26" s="6">
        <v>160000000</v>
      </c>
      <c r="AL26" s="4" t="s">
        <v>309</v>
      </c>
      <c r="AM26" s="4" t="s">
        <v>278</v>
      </c>
      <c r="AN26" s="4">
        <v>2</v>
      </c>
      <c r="AO26" s="4">
        <v>1.5E-5</v>
      </c>
      <c r="AP26" s="4">
        <v>1.2899999999999999E-4</v>
      </c>
    </row>
    <row r="27" spans="1:42" x14ac:dyDescent="0.25">
      <c r="A27" s="4" t="s">
        <v>311</v>
      </c>
      <c r="B27" s="4" t="s">
        <v>217</v>
      </c>
      <c r="C27" s="4">
        <v>3</v>
      </c>
      <c r="D27" s="4">
        <v>5</v>
      </c>
      <c r="E27" s="4">
        <v>1999</v>
      </c>
      <c r="F27" s="4">
        <v>4.78</v>
      </c>
      <c r="G27" s="4">
        <v>5</v>
      </c>
      <c r="H27" s="4">
        <v>4.8899999999999997</v>
      </c>
      <c r="I27" s="4">
        <v>3.67</v>
      </c>
      <c r="J27" s="4">
        <v>4.4400000000000004</v>
      </c>
      <c r="K27" s="4">
        <v>3.33</v>
      </c>
      <c r="L27" s="4">
        <v>4.4400000000000004</v>
      </c>
      <c r="M27" s="4">
        <v>4.67</v>
      </c>
      <c r="N27" s="9">
        <f t="shared" si="1"/>
        <v>4.7766666666666673</v>
      </c>
      <c r="O27" s="9">
        <f t="shared" si="6"/>
        <v>0.1133333333333324</v>
      </c>
      <c r="P27" s="9">
        <f t="shared" si="2"/>
        <v>0</v>
      </c>
      <c r="X27" s="4">
        <v>0</v>
      </c>
      <c r="Y27" s="4">
        <v>8</v>
      </c>
      <c r="Z27" s="4">
        <v>17</v>
      </c>
      <c r="AA27" s="4">
        <v>15.26</v>
      </c>
      <c r="AB27" s="4">
        <v>0.25836799999999999</v>
      </c>
      <c r="AC27" s="4">
        <v>0</v>
      </c>
      <c r="AD27" s="4">
        <v>1</v>
      </c>
      <c r="AE27" s="5">
        <v>-144761</v>
      </c>
      <c r="AF27" s="4">
        <v>0</v>
      </c>
      <c r="AG27" s="4">
        <v>0.36</v>
      </c>
      <c r="AH27" s="5">
        <v>426786</v>
      </c>
      <c r="AI27" s="4">
        <v>2674.6</v>
      </c>
      <c r="AJ27" s="4">
        <v>24887.4</v>
      </c>
      <c r="AK27" s="6">
        <v>170000000</v>
      </c>
      <c r="AL27" s="4" t="s">
        <v>312</v>
      </c>
      <c r="AM27" s="4" t="s">
        <v>285</v>
      </c>
      <c r="AN27" s="4">
        <v>1</v>
      </c>
      <c r="AO27" s="4">
        <v>1.5E-5</v>
      </c>
      <c r="AP27" s="4">
        <v>1.44E-4</v>
      </c>
    </row>
    <row r="28" spans="1:42" x14ac:dyDescent="0.25">
      <c r="A28" s="4" t="s">
        <v>313</v>
      </c>
      <c r="B28" s="4" t="s">
        <v>217</v>
      </c>
      <c r="C28" s="4">
        <v>3</v>
      </c>
      <c r="D28" s="4">
        <v>6</v>
      </c>
      <c r="E28" s="4">
        <v>2003</v>
      </c>
      <c r="F28" s="4">
        <v>2.44</v>
      </c>
      <c r="G28" s="4">
        <v>3.33</v>
      </c>
      <c r="H28" s="4">
        <v>2</v>
      </c>
      <c r="I28" s="4">
        <v>3.11</v>
      </c>
      <c r="J28" s="4">
        <v>2</v>
      </c>
      <c r="K28" s="4">
        <v>4.33</v>
      </c>
      <c r="L28" s="4">
        <v>4.8899999999999997</v>
      </c>
      <c r="M28" s="4">
        <v>4.5599999999999996</v>
      </c>
      <c r="N28" s="9">
        <f t="shared" si="1"/>
        <v>2.4433333333333334</v>
      </c>
      <c r="O28" s="9">
        <f t="shared" si="6"/>
        <v>2.3333333333333339</v>
      </c>
      <c r="P28" s="9">
        <f t="shared" si="2"/>
        <v>2.3400000000000003</v>
      </c>
      <c r="Q28" s="4">
        <v>1</v>
      </c>
      <c r="R28" s="4">
        <v>1</v>
      </c>
      <c r="S28" s="8">
        <v>1.82</v>
      </c>
      <c r="T28" s="4">
        <v>1.82</v>
      </c>
      <c r="U28" s="8">
        <f>SUM(S28:T28)</f>
        <v>3.64</v>
      </c>
      <c r="V28" s="4">
        <v>0.87</v>
      </c>
      <c r="X28" s="4">
        <v>0</v>
      </c>
      <c r="Y28" s="4">
        <v>9.5</v>
      </c>
      <c r="Z28" s="4">
        <v>17</v>
      </c>
      <c r="AA28" s="4">
        <v>14.91</v>
      </c>
      <c r="AB28" s="4">
        <v>0.25836799999999999</v>
      </c>
      <c r="AC28" s="4">
        <v>0</v>
      </c>
      <c r="AD28" s="4">
        <v>0</v>
      </c>
      <c r="AE28" s="4">
        <v>-0.19589699999999999</v>
      </c>
      <c r="AF28" s="4">
        <v>0</v>
      </c>
      <c r="AG28" s="4">
        <v>0.37</v>
      </c>
      <c r="AH28" s="5">
        <v>426786</v>
      </c>
      <c r="AI28" s="4">
        <v>9187.36</v>
      </c>
      <c r="AJ28" s="4">
        <v>29664</v>
      </c>
      <c r="AK28" s="6">
        <v>180000000</v>
      </c>
      <c r="AL28" s="4" t="s">
        <v>312</v>
      </c>
      <c r="AM28" s="4" t="s">
        <v>285</v>
      </c>
      <c r="AN28" s="4">
        <v>1</v>
      </c>
      <c r="AO28" s="4">
        <v>5.0000000000000002E-5</v>
      </c>
      <c r="AP28" s="4">
        <v>1.6200000000000001E-4</v>
      </c>
    </row>
    <row r="29" spans="1:42" x14ac:dyDescent="0.25">
      <c r="A29" s="4" t="s">
        <v>314</v>
      </c>
      <c r="B29" s="4" t="s">
        <v>217</v>
      </c>
      <c r="C29" s="4">
        <v>3</v>
      </c>
      <c r="D29" s="4">
        <v>7</v>
      </c>
      <c r="E29" s="4">
        <v>2007</v>
      </c>
      <c r="F29" s="4">
        <v>2.56</v>
      </c>
      <c r="G29" s="4">
        <v>3.22</v>
      </c>
      <c r="H29" s="4">
        <v>2.11</v>
      </c>
      <c r="I29" s="4">
        <v>3.22</v>
      </c>
      <c r="J29" s="4">
        <v>2.11</v>
      </c>
      <c r="K29" s="4">
        <v>4.33</v>
      </c>
      <c r="L29" s="4">
        <v>4.78</v>
      </c>
      <c r="M29" s="4">
        <v>4.33</v>
      </c>
      <c r="N29" s="9">
        <f t="shared" si="1"/>
        <v>2.48</v>
      </c>
      <c r="O29" s="9">
        <f t="shared" si="6"/>
        <v>3.6666666666666625E-2</v>
      </c>
      <c r="P29" s="9">
        <f t="shared" si="2"/>
        <v>0.12000000000000011</v>
      </c>
      <c r="Q29" s="4">
        <v>0</v>
      </c>
      <c r="R29" s="4">
        <v>0</v>
      </c>
      <c r="S29" s="8">
        <v>1.86</v>
      </c>
      <c r="T29" s="4">
        <v>1.96</v>
      </c>
      <c r="U29" s="8">
        <f t="shared" ref="U29:U33" si="7">SUM(S29:T29)</f>
        <v>3.8200000000000003</v>
      </c>
      <c r="V29" s="4">
        <v>0.87</v>
      </c>
      <c r="X29" s="4">
        <v>0</v>
      </c>
      <c r="Y29" s="4">
        <v>10</v>
      </c>
      <c r="Z29" s="4">
        <v>17</v>
      </c>
      <c r="AA29" s="4">
        <v>10.3</v>
      </c>
      <c r="AB29" s="4">
        <v>0.25836799999999999</v>
      </c>
      <c r="AC29" s="4">
        <v>0</v>
      </c>
      <c r="AD29" s="4">
        <v>0</v>
      </c>
      <c r="AE29" s="5">
        <v>412203</v>
      </c>
      <c r="AF29" s="4">
        <v>0</v>
      </c>
      <c r="AG29" s="4">
        <v>0.37</v>
      </c>
      <c r="AH29" s="5">
        <v>426786</v>
      </c>
      <c r="AI29" s="4">
        <v>35656.199999999997</v>
      </c>
      <c r="AJ29" s="4">
        <v>47984.6</v>
      </c>
      <c r="AK29" s="6">
        <v>190000000</v>
      </c>
      <c r="AL29" s="4" t="s">
        <v>312</v>
      </c>
      <c r="AM29" s="4" t="s">
        <v>285</v>
      </c>
      <c r="AN29" s="4">
        <v>1</v>
      </c>
      <c r="AO29" s="4">
        <v>1.85E-4</v>
      </c>
      <c r="AP29" s="4">
        <v>2.4899999999999998E-4</v>
      </c>
    </row>
    <row r="30" spans="1:42" x14ac:dyDescent="0.25">
      <c r="A30" s="4" t="s">
        <v>429</v>
      </c>
      <c r="B30" s="4" t="s">
        <v>217</v>
      </c>
      <c r="C30" s="4">
        <v>3</v>
      </c>
      <c r="D30" s="4">
        <v>8</v>
      </c>
      <c r="E30" s="4">
        <v>2011</v>
      </c>
      <c r="F30" s="4">
        <v>3</v>
      </c>
      <c r="G30" s="4">
        <v>3.44</v>
      </c>
      <c r="H30" s="4">
        <v>2.89</v>
      </c>
      <c r="I30" s="4">
        <v>3.11</v>
      </c>
      <c r="J30" s="4">
        <v>2.44</v>
      </c>
      <c r="K30" s="4">
        <v>3.89</v>
      </c>
      <c r="L30" s="4">
        <v>2.89</v>
      </c>
      <c r="M30" s="4">
        <v>3.78</v>
      </c>
      <c r="N30" s="9">
        <f t="shared" si="1"/>
        <v>2.9233333333333333</v>
      </c>
      <c r="O30" s="9">
        <f t="shared" si="6"/>
        <v>0.44333333333333336</v>
      </c>
      <c r="P30" s="9">
        <f t="shared" si="2"/>
        <v>0.43999999999999995</v>
      </c>
      <c r="Q30" s="4">
        <v>0</v>
      </c>
      <c r="R30" s="4">
        <v>1</v>
      </c>
      <c r="S30" s="8">
        <v>2.33</v>
      </c>
      <c r="T30" s="4">
        <v>2.63</v>
      </c>
      <c r="U30" s="8">
        <f t="shared" si="7"/>
        <v>4.96</v>
      </c>
      <c r="V30" s="4">
        <v>0.88</v>
      </c>
      <c r="X30" s="4">
        <v>0</v>
      </c>
      <c r="Y30" s="4">
        <v>10</v>
      </c>
      <c r="Z30" s="4">
        <v>17</v>
      </c>
      <c r="AA30" s="4">
        <v>11.13</v>
      </c>
      <c r="AB30" s="4">
        <v>0.25836799999999999</v>
      </c>
      <c r="AC30" s="4">
        <v>0</v>
      </c>
      <c r="AD30" s="4">
        <v>0</v>
      </c>
      <c r="AE30" s="5">
        <v>-109351</v>
      </c>
      <c r="AF30" s="4">
        <v>0</v>
      </c>
      <c r="AG30" s="4">
        <v>0.25</v>
      </c>
      <c r="AH30" s="5">
        <v>426786</v>
      </c>
      <c r="AI30" s="4">
        <v>50174.2</v>
      </c>
      <c r="AJ30" s="4">
        <v>95305.7</v>
      </c>
      <c r="AK30" s="6">
        <v>210000000</v>
      </c>
      <c r="AL30" s="4" t="s">
        <v>312</v>
      </c>
      <c r="AM30" s="4" t="s">
        <v>285</v>
      </c>
      <c r="AN30" s="4">
        <v>1</v>
      </c>
      <c r="AO30" s="4">
        <v>2.43E-4</v>
      </c>
      <c r="AP30" s="4">
        <v>4.6200000000000001E-4</v>
      </c>
    </row>
    <row r="31" spans="1:42" x14ac:dyDescent="0.25">
      <c r="A31" s="4" t="s">
        <v>428</v>
      </c>
      <c r="B31" s="4" t="s">
        <v>217</v>
      </c>
      <c r="C31" s="4">
        <v>3</v>
      </c>
      <c r="D31" s="4">
        <v>9</v>
      </c>
      <c r="E31" s="4">
        <v>2015</v>
      </c>
      <c r="F31" s="4">
        <v>2.6</v>
      </c>
      <c r="G31" s="4">
        <v>3.3</v>
      </c>
      <c r="H31" s="4">
        <v>2.9</v>
      </c>
      <c r="I31" s="4">
        <v>3.6</v>
      </c>
      <c r="J31" s="4">
        <v>2.63</v>
      </c>
      <c r="K31" s="4">
        <v>4.2699999999999996</v>
      </c>
      <c r="L31" s="4">
        <v>4</v>
      </c>
      <c r="M31" s="4">
        <v>2.81</v>
      </c>
      <c r="N31" s="9">
        <f t="shared" si="1"/>
        <v>2.9433333333333329</v>
      </c>
      <c r="O31" s="9">
        <f t="shared" si="6"/>
        <v>1.9999999999999574E-2</v>
      </c>
      <c r="P31" s="9">
        <f t="shared" si="2"/>
        <v>0.39999999999999991</v>
      </c>
      <c r="Q31" s="4">
        <v>0</v>
      </c>
      <c r="R31" s="4">
        <v>0</v>
      </c>
      <c r="S31" s="8">
        <v>3.09</v>
      </c>
      <c r="T31" s="4">
        <v>3.65</v>
      </c>
      <c r="U31" s="8">
        <f t="shared" si="7"/>
        <v>6.74</v>
      </c>
      <c r="V31" s="4">
        <v>0.84</v>
      </c>
      <c r="AE31" s="5"/>
      <c r="AH31" s="5"/>
      <c r="AK31" s="6"/>
    </row>
    <row r="32" spans="1:42" x14ac:dyDescent="0.25">
      <c r="A32" s="4" t="s">
        <v>430</v>
      </c>
      <c r="B32" s="4" t="s">
        <v>217</v>
      </c>
      <c r="C32" s="4">
        <v>3</v>
      </c>
      <c r="D32" s="4">
        <v>10</v>
      </c>
      <c r="E32" s="4">
        <v>2016</v>
      </c>
      <c r="F32" s="4">
        <v>5.0999999999999996</v>
      </c>
      <c r="G32" s="4">
        <v>4.9000000000000004</v>
      </c>
      <c r="H32" s="4">
        <v>5.0999999999999996</v>
      </c>
      <c r="I32" s="4">
        <v>4.45</v>
      </c>
      <c r="J32" s="4">
        <v>4.45</v>
      </c>
      <c r="K32" s="4">
        <v>3.18</v>
      </c>
      <c r="L32" s="4">
        <v>4.54</v>
      </c>
      <c r="M32" s="4">
        <v>3.27</v>
      </c>
      <c r="N32" s="9">
        <f t="shared" si="1"/>
        <v>4.8166666666666664</v>
      </c>
      <c r="O32" s="9">
        <f t="shared" si="6"/>
        <v>1.8733333333333335</v>
      </c>
      <c r="P32" s="9">
        <f t="shared" si="2"/>
        <v>2.4999999999999996</v>
      </c>
      <c r="Q32" s="4">
        <v>1</v>
      </c>
      <c r="R32" s="4">
        <v>1</v>
      </c>
      <c r="S32" s="4">
        <v>3.55</v>
      </c>
      <c r="T32" s="4">
        <v>3.87</v>
      </c>
      <c r="U32" s="8">
        <f t="shared" si="7"/>
        <v>7.42</v>
      </c>
      <c r="V32" s="4">
        <v>0.78</v>
      </c>
      <c r="AE32" s="5"/>
      <c r="AH32" s="5"/>
      <c r="AK32" s="6"/>
    </row>
    <row r="33" spans="1:42" x14ac:dyDescent="0.25">
      <c r="A33" s="4" t="s">
        <v>431</v>
      </c>
      <c r="B33" s="4" t="s">
        <v>217</v>
      </c>
      <c r="C33" s="4">
        <v>3</v>
      </c>
      <c r="D33" s="4">
        <v>11</v>
      </c>
      <c r="E33" s="4">
        <v>2019</v>
      </c>
      <c r="F33" s="4">
        <v>6.6</v>
      </c>
      <c r="G33" s="4">
        <v>5.0999999999999996</v>
      </c>
      <c r="H33" s="4">
        <v>6.3</v>
      </c>
      <c r="I33" s="4">
        <v>1.72</v>
      </c>
      <c r="J33" s="4">
        <v>6.36</v>
      </c>
      <c r="K33" s="4">
        <v>3.1</v>
      </c>
      <c r="L33" s="4">
        <v>2.54</v>
      </c>
      <c r="M33" s="4">
        <v>1.63</v>
      </c>
      <c r="N33" s="9">
        <f t="shared" si="1"/>
        <v>5.919999999999999</v>
      </c>
      <c r="O33" s="9">
        <f t="shared" si="5"/>
        <v>1.1033333333333326</v>
      </c>
      <c r="P33" s="9">
        <f t="shared" si="2"/>
        <v>1.5</v>
      </c>
      <c r="Q33" s="4">
        <v>0</v>
      </c>
      <c r="R33" s="4">
        <v>1</v>
      </c>
      <c r="S33" s="4">
        <v>3.86</v>
      </c>
      <c r="T33" s="4">
        <v>3.91</v>
      </c>
      <c r="U33" s="8">
        <f t="shared" si="7"/>
        <v>7.77</v>
      </c>
      <c r="V33" s="4">
        <v>0.67</v>
      </c>
      <c r="AE33" s="5"/>
      <c r="AH33" s="5"/>
      <c r="AK33" s="6"/>
    </row>
    <row r="34" spans="1:42" x14ac:dyDescent="0.25">
      <c r="A34" s="4" t="s">
        <v>315</v>
      </c>
      <c r="B34" s="4" t="s">
        <v>229</v>
      </c>
      <c r="C34" s="4">
        <v>4</v>
      </c>
      <c r="D34" s="4">
        <v>1</v>
      </c>
      <c r="E34" s="4">
        <v>1990</v>
      </c>
      <c r="F34" s="4">
        <v>4</v>
      </c>
      <c r="G34" s="4">
        <v>5.57</v>
      </c>
      <c r="H34" s="4">
        <v>4</v>
      </c>
      <c r="I34" s="4">
        <v>4.8600000000000003</v>
      </c>
      <c r="J34" s="4">
        <v>4</v>
      </c>
      <c r="K34" s="4">
        <v>3.57</v>
      </c>
      <c r="L34" s="4">
        <v>4.43</v>
      </c>
      <c r="M34" s="4">
        <v>4.43</v>
      </c>
      <c r="N34" s="9">
        <f t="shared" si="1"/>
        <v>4.5233333333333334</v>
      </c>
      <c r="O34" s="9"/>
      <c r="P34" s="9"/>
      <c r="X34" s="4">
        <v>0</v>
      </c>
      <c r="Y34" s="4">
        <v>10</v>
      </c>
      <c r="Z34" s="4">
        <v>21</v>
      </c>
      <c r="AB34" s="4">
        <v>0.229602</v>
      </c>
      <c r="AC34" s="4">
        <v>1</v>
      </c>
      <c r="AD34" s="4">
        <v>0</v>
      </c>
      <c r="AE34" s="5">
        <v>187801</v>
      </c>
      <c r="AF34" s="4">
        <v>0.14285700000000001</v>
      </c>
      <c r="AG34" s="4">
        <v>0.22</v>
      </c>
      <c r="AH34" s="5">
        <v>381818</v>
      </c>
      <c r="AI34" s="4">
        <v>94.07</v>
      </c>
      <c r="AJ34" s="4">
        <v>2944.1</v>
      </c>
      <c r="AK34" s="6">
        <v>13000000</v>
      </c>
      <c r="AL34" s="4" t="s">
        <v>316</v>
      </c>
      <c r="AM34" s="4" t="s">
        <v>278</v>
      </c>
      <c r="AN34" s="4">
        <v>2</v>
      </c>
      <c r="AO34" s="6">
        <v>7.3000000000000004E-6</v>
      </c>
      <c r="AP34" s="4">
        <v>2.2800000000000001E-4</v>
      </c>
    </row>
    <row r="35" spans="1:42" x14ac:dyDescent="0.25">
      <c r="A35" s="4" t="s">
        <v>317</v>
      </c>
      <c r="B35" s="4" t="s">
        <v>229</v>
      </c>
      <c r="C35" s="4">
        <v>4</v>
      </c>
      <c r="D35" s="4">
        <v>2</v>
      </c>
      <c r="E35" s="4">
        <v>1994</v>
      </c>
      <c r="F35" s="4">
        <v>4.1399999999999997</v>
      </c>
      <c r="G35" s="4">
        <v>6</v>
      </c>
      <c r="H35" s="4">
        <v>4.57</v>
      </c>
      <c r="I35" s="4">
        <v>5.14</v>
      </c>
      <c r="J35" s="4">
        <v>4.1399999999999997</v>
      </c>
      <c r="K35" s="4">
        <v>4</v>
      </c>
      <c r="L35" s="4">
        <v>4.43</v>
      </c>
      <c r="M35" s="4">
        <v>5</v>
      </c>
      <c r="N35" s="9">
        <f t="shared" si="1"/>
        <v>4.9033333333333333</v>
      </c>
      <c r="O35" s="9">
        <f t="shared" ref="O35:O40" si="8">IF(B35=B34,SQRT((N35-N34)^2)," ")</f>
        <v>0.37999999999999989</v>
      </c>
      <c r="P35" s="9">
        <f t="shared" si="2"/>
        <v>0.13999999999999968</v>
      </c>
      <c r="X35" s="4">
        <v>0</v>
      </c>
      <c r="Y35" s="4">
        <v>9.8000000000000007</v>
      </c>
      <c r="Z35" s="4">
        <v>21</v>
      </c>
      <c r="AA35" s="4">
        <v>25.73</v>
      </c>
      <c r="AB35" s="4">
        <v>0.229602</v>
      </c>
      <c r="AC35" s="4">
        <v>0</v>
      </c>
      <c r="AD35" s="4">
        <v>0</v>
      </c>
      <c r="AE35" s="5">
        <v>388078</v>
      </c>
      <c r="AF35" s="4">
        <v>0.214286</v>
      </c>
      <c r="AG35" s="4">
        <v>0.08</v>
      </c>
      <c r="AH35" s="5">
        <v>381818</v>
      </c>
      <c r="AI35" s="4">
        <v>463.79</v>
      </c>
      <c r="AJ35" s="4">
        <v>4710.3999999999996</v>
      </c>
      <c r="AK35" s="6">
        <v>14000000</v>
      </c>
      <c r="AL35" s="4" t="s">
        <v>316</v>
      </c>
      <c r="AM35" s="4" t="s">
        <v>278</v>
      </c>
      <c r="AN35" s="4">
        <v>2</v>
      </c>
      <c r="AO35" s="4">
        <v>3.3000000000000003E-5</v>
      </c>
      <c r="AP35" s="4">
        <v>3.3700000000000001E-4</v>
      </c>
    </row>
    <row r="36" spans="1:42" x14ac:dyDescent="0.25">
      <c r="A36" s="4" t="s">
        <v>318</v>
      </c>
      <c r="B36" s="4" t="s">
        <v>229</v>
      </c>
      <c r="C36" s="4">
        <v>4</v>
      </c>
      <c r="D36" s="4">
        <v>3</v>
      </c>
      <c r="E36" s="4">
        <v>2000</v>
      </c>
      <c r="F36" s="4">
        <v>3.57</v>
      </c>
      <c r="G36" s="4">
        <v>6</v>
      </c>
      <c r="H36" s="4">
        <v>4.43</v>
      </c>
      <c r="I36" s="4">
        <v>5.14</v>
      </c>
      <c r="J36" s="4">
        <v>3.57</v>
      </c>
      <c r="K36" s="4">
        <v>4.1399999999999997</v>
      </c>
      <c r="L36" s="4">
        <v>5</v>
      </c>
      <c r="M36" s="4">
        <v>5</v>
      </c>
      <c r="N36" s="9">
        <f t="shared" si="1"/>
        <v>4.666666666666667</v>
      </c>
      <c r="O36" s="9">
        <f t="shared" si="8"/>
        <v>0.23666666666666636</v>
      </c>
      <c r="P36" s="9">
        <f t="shared" si="2"/>
        <v>0.56999999999999984</v>
      </c>
      <c r="Q36" s="4">
        <v>0</v>
      </c>
      <c r="R36" s="4">
        <v>1</v>
      </c>
      <c r="S36" s="4">
        <v>0.65</v>
      </c>
      <c r="T36" s="4">
        <v>2.41</v>
      </c>
      <c r="U36" s="8">
        <f t="shared" ref="U36:U40" si="9">SUM(S36:T36)</f>
        <v>3.06</v>
      </c>
      <c r="V36" s="4">
        <v>0.88</v>
      </c>
      <c r="X36" s="4">
        <v>0</v>
      </c>
      <c r="Y36" s="4">
        <v>11.16</v>
      </c>
      <c r="Z36" s="4">
        <v>21</v>
      </c>
      <c r="AA36" s="4">
        <v>14.66</v>
      </c>
      <c r="AB36" s="4">
        <v>0.229602</v>
      </c>
      <c r="AC36" s="4">
        <v>0</v>
      </c>
      <c r="AD36" s="4">
        <v>1</v>
      </c>
      <c r="AE36" s="5">
        <v>32184</v>
      </c>
      <c r="AF36" s="4">
        <v>0</v>
      </c>
      <c r="AG36" s="4">
        <v>0.08</v>
      </c>
      <c r="AH36" s="5">
        <v>381818</v>
      </c>
      <c r="AI36" s="4">
        <v>2397.56</v>
      </c>
      <c r="AJ36" s="4">
        <v>6898.41</v>
      </c>
      <c r="AK36" s="6">
        <v>15000000</v>
      </c>
      <c r="AL36" s="4" t="s">
        <v>319</v>
      </c>
      <c r="AM36" s="4" t="s">
        <v>285</v>
      </c>
      <c r="AN36" s="4">
        <v>1</v>
      </c>
      <c r="AO36" s="4">
        <v>1.5799999999999999E-4</v>
      </c>
      <c r="AP36" s="4">
        <v>4.55E-4</v>
      </c>
    </row>
    <row r="37" spans="1:42" x14ac:dyDescent="0.25">
      <c r="A37" s="4" t="s">
        <v>320</v>
      </c>
      <c r="B37" s="4" t="s">
        <v>229</v>
      </c>
      <c r="C37" s="4">
        <v>4</v>
      </c>
      <c r="D37" s="4">
        <v>4</v>
      </c>
      <c r="E37" s="4">
        <v>2006</v>
      </c>
      <c r="F37" s="4">
        <v>2.86</v>
      </c>
      <c r="G37" s="4">
        <v>5.57</v>
      </c>
      <c r="H37" s="4">
        <v>3.86</v>
      </c>
      <c r="I37" s="4">
        <v>4.57</v>
      </c>
      <c r="J37" s="4">
        <v>3.71</v>
      </c>
      <c r="K37" s="4">
        <v>4.43</v>
      </c>
      <c r="L37" s="4">
        <v>5</v>
      </c>
      <c r="M37" s="4">
        <v>4.8600000000000003</v>
      </c>
      <c r="N37" s="9">
        <f t="shared" si="1"/>
        <v>4.38</v>
      </c>
      <c r="O37" s="9">
        <f t="shared" si="8"/>
        <v>0.28666666666666707</v>
      </c>
      <c r="P37" s="9">
        <f t="shared" si="2"/>
        <v>0.71</v>
      </c>
      <c r="Q37" s="4">
        <v>0</v>
      </c>
      <c r="R37" s="4">
        <v>1</v>
      </c>
      <c r="S37" s="4">
        <v>0.74</v>
      </c>
      <c r="T37" s="4">
        <v>2.41</v>
      </c>
      <c r="U37" s="8">
        <f t="shared" si="9"/>
        <v>3.1500000000000004</v>
      </c>
      <c r="V37" s="4">
        <v>0.89</v>
      </c>
      <c r="X37" s="4">
        <v>0</v>
      </c>
      <c r="Y37" s="4">
        <v>12</v>
      </c>
      <c r="Z37" s="4">
        <v>21</v>
      </c>
      <c r="AA37" s="4">
        <v>6.98</v>
      </c>
      <c r="AB37" s="4">
        <v>0.229602</v>
      </c>
      <c r="AC37" s="4">
        <v>0</v>
      </c>
      <c r="AD37" s="4">
        <v>0</v>
      </c>
      <c r="AE37" s="5">
        <v>351172</v>
      </c>
      <c r="AF37" s="4">
        <v>0</v>
      </c>
      <c r="AG37" s="4">
        <v>0.08</v>
      </c>
      <c r="AH37" s="5">
        <v>381818</v>
      </c>
      <c r="AI37" s="4">
        <v>9392.08</v>
      </c>
      <c r="AJ37" s="4">
        <v>15884</v>
      </c>
      <c r="AK37" s="6">
        <v>16000000</v>
      </c>
      <c r="AL37" s="4" t="s">
        <v>319</v>
      </c>
      <c r="AM37" s="4" t="s">
        <v>285</v>
      </c>
      <c r="AN37" s="4">
        <v>1</v>
      </c>
      <c r="AO37" s="4">
        <v>5.7700000000000004E-4</v>
      </c>
      <c r="AP37" s="4">
        <v>9.7599999999999998E-4</v>
      </c>
    </row>
    <row r="38" spans="1:42" x14ac:dyDescent="0.25">
      <c r="A38" s="4" t="s">
        <v>436</v>
      </c>
      <c r="B38" s="4" t="s">
        <v>229</v>
      </c>
      <c r="C38" s="4">
        <v>4</v>
      </c>
      <c r="D38" s="4">
        <v>5</v>
      </c>
      <c r="E38" s="4">
        <v>2010</v>
      </c>
      <c r="F38" s="4">
        <v>5.7</v>
      </c>
      <c r="G38" s="4">
        <v>5.58</v>
      </c>
      <c r="H38" s="4">
        <v>5.23</v>
      </c>
      <c r="I38" s="4">
        <v>4.54</v>
      </c>
      <c r="J38" s="4">
        <v>5.43</v>
      </c>
      <c r="K38" s="4">
        <v>5</v>
      </c>
      <c r="L38" s="4">
        <v>5</v>
      </c>
      <c r="M38" s="4">
        <v>5</v>
      </c>
      <c r="N38" s="9">
        <f t="shared" si="1"/>
        <v>5.413333333333334</v>
      </c>
      <c r="O38" s="9">
        <f t="shared" si="8"/>
        <v>1.0333333333333341</v>
      </c>
      <c r="P38" s="9">
        <f t="shared" si="2"/>
        <v>2.8400000000000003</v>
      </c>
      <c r="Q38" s="4">
        <v>1</v>
      </c>
      <c r="R38" s="4">
        <v>1</v>
      </c>
      <c r="S38" s="4">
        <v>0.97</v>
      </c>
      <c r="T38" s="4">
        <v>2.81</v>
      </c>
      <c r="U38" s="8">
        <f t="shared" si="9"/>
        <v>3.7800000000000002</v>
      </c>
      <c r="V38" s="4">
        <v>0.89</v>
      </c>
      <c r="X38" s="4">
        <v>0</v>
      </c>
      <c r="Y38" s="4">
        <v>12</v>
      </c>
      <c r="Z38" s="4">
        <v>21</v>
      </c>
      <c r="AA38" s="4">
        <v>16.16</v>
      </c>
      <c r="AB38" s="4">
        <v>0.229602</v>
      </c>
      <c r="AC38" s="4">
        <v>0</v>
      </c>
      <c r="AD38" s="4">
        <v>0</v>
      </c>
      <c r="AE38" s="5">
        <v>264999</v>
      </c>
      <c r="AF38" s="4">
        <v>0</v>
      </c>
      <c r="AG38" s="4">
        <v>0.08</v>
      </c>
      <c r="AH38" s="5">
        <v>381818</v>
      </c>
      <c r="AI38" s="4">
        <v>18460.7</v>
      </c>
      <c r="AJ38" s="4">
        <v>19826.5</v>
      </c>
      <c r="AK38" s="6">
        <v>17000000</v>
      </c>
      <c r="AL38" s="4" t="s">
        <v>319</v>
      </c>
      <c r="AM38" s="4" t="s">
        <v>285</v>
      </c>
      <c r="AN38" s="4">
        <v>1</v>
      </c>
      <c r="AO38" s="4">
        <v>1.085E-3</v>
      </c>
      <c r="AP38" s="4">
        <v>1.165E-3</v>
      </c>
    </row>
    <row r="39" spans="1:42" x14ac:dyDescent="0.25">
      <c r="A39" s="4" t="s">
        <v>435</v>
      </c>
      <c r="B39" s="4" t="s">
        <v>229</v>
      </c>
      <c r="C39" s="4">
        <v>4</v>
      </c>
      <c r="D39" s="4">
        <v>6</v>
      </c>
      <c r="E39" s="4">
        <v>2014</v>
      </c>
      <c r="F39" s="4">
        <v>2.9</v>
      </c>
      <c r="G39" s="4">
        <v>5.63</v>
      </c>
      <c r="H39" s="4">
        <v>4.18</v>
      </c>
      <c r="I39" s="4">
        <v>4</v>
      </c>
      <c r="J39" s="4">
        <v>4.18</v>
      </c>
      <c r="K39" s="4">
        <v>3.6</v>
      </c>
      <c r="L39" s="4">
        <v>3.72</v>
      </c>
      <c r="M39" s="4">
        <v>3.9</v>
      </c>
      <c r="N39" s="9">
        <f t="shared" si="1"/>
        <v>4.6633333333333331</v>
      </c>
      <c r="O39" s="9">
        <f t="shared" si="8"/>
        <v>0.75000000000000089</v>
      </c>
      <c r="P39" s="9">
        <f t="shared" si="2"/>
        <v>2.8000000000000003</v>
      </c>
      <c r="Q39" s="4">
        <v>1</v>
      </c>
      <c r="R39" s="4">
        <v>1</v>
      </c>
      <c r="S39" s="4">
        <v>1.25</v>
      </c>
      <c r="T39" s="4">
        <v>2.82</v>
      </c>
      <c r="U39" s="8">
        <f t="shared" si="9"/>
        <v>4.07</v>
      </c>
      <c r="V39" s="4">
        <v>0.89</v>
      </c>
      <c r="AE39" s="5"/>
      <c r="AH39" s="5"/>
      <c r="AK39" s="6"/>
    </row>
    <row r="40" spans="1:42" x14ac:dyDescent="0.25">
      <c r="A40" s="4" t="s">
        <v>437</v>
      </c>
      <c r="B40" s="4" t="s">
        <v>229</v>
      </c>
      <c r="C40" s="4">
        <v>4</v>
      </c>
      <c r="D40" s="4">
        <v>7</v>
      </c>
      <c r="E40" s="4">
        <v>2018</v>
      </c>
      <c r="F40" s="4">
        <v>5.81</v>
      </c>
      <c r="G40" s="4">
        <v>6.63</v>
      </c>
      <c r="H40" s="4">
        <v>6.27</v>
      </c>
      <c r="I40" s="4">
        <v>4.8099999999999996</v>
      </c>
      <c r="J40" s="4">
        <v>5.54</v>
      </c>
      <c r="K40" s="4">
        <v>4.2699999999999996</v>
      </c>
      <c r="L40" s="4">
        <v>5</v>
      </c>
      <c r="M40" s="4">
        <v>4.45</v>
      </c>
      <c r="N40" s="9">
        <f t="shared" si="1"/>
        <v>6.1466666666666656</v>
      </c>
      <c r="O40" s="9">
        <f t="shared" si="8"/>
        <v>1.4833333333333325</v>
      </c>
      <c r="P40" s="9">
        <f t="shared" si="2"/>
        <v>2.9099999999999997</v>
      </c>
      <c r="Q40" s="4">
        <v>1</v>
      </c>
      <c r="R40" s="4">
        <v>1</v>
      </c>
      <c r="S40" s="4">
        <v>2.52</v>
      </c>
      <c r="T40" s="4">
        <v>3.11</v>
      </c>
      <c r="U40" s="8">
        <f t="shared" si="9"/>
        <v>5.63</v>
      </c>
      <c r="V40" s="4">
        <v>0.84</v>
      </c>
      <c r="AE40" s="5"/>
      <c r="AH40" s="5"/>
      <c r="AK40" s="6"/>
    </row>
    <row r="41" spans="1:42" x14ac:dyDescent="0.25">
      <c r="A41" s="4" t="s">
        <v>321</v>
      </c>
      <c r="B41" s="4" t="s">
        <v>241</v>
      </c>
      <c r="C41" s="4">
        <v>5</v>
      </c>
      <c r="D41" s="4">
        <v>1</v>
      </c>
      <c r="E41" s="4">
        <v>1974</v>
      </c>
      <c r="F41" s="4">
        <v>3.71</v>
      </c>
      <c r="G41" s="4">
        <v>3.43</v>
      </c>
      <c r="H41" s="4">
        <v>3.43</v>
      </c>
      <c r="I41" s="4">
        <v>5</v>
      </c>
      <c r="J41" s="4">
        <v>3.57</v>
      </c>
      <c r="K41" s="4">
        <v>4.1399999999999997</v>
      </c>
      <c r="L41" s="4">
        <v>4.57</v>
      </c>
      <c r="M41" s="4">
        <v>4.57</v>
      </c>
      <c r="N41" s="9">
        <f t="shared" si="1"/>
        <v>3.4766666666666666</v>
      </c>
      <c r="O41" s="9"/>
      <c r="P41" s="9"/>
      <c r="X41" s="4">
        <v>0</v>
      </c>
      <c r="Y41" s="4">
        <v>9</v>
      </c>
      <c r="Z41" s="4">
        <v>19</v>
      </c>
      <c r="AA41" s="4">
        <v>16.600000000000001</v>
      </c>
      <c r="AB41" s="4">
        <v>0.54079900000000003</v>
      </c>
      <c r="AC41" s="4">
        <v>0</v>
      </c>
      <c r="AD41" s="4">
        <v>0</v>
      </c>
      <c r="AE41" s="5">
        <v>337347</v>
      </c>
      <c r="AF41" s="4">
        <v>0.25</v>
      </c>
      <c r="AG41" s="4">
        <v>0.48</v>
      </c>
      <c r="AH41" s="5">
        <v>284375</v>
      </c>
      <c r="AI41" s="4">
        <v>0.03</v>
      </c>
      <c r="AJ41" s="4">
        <v>1270.71</v>
      </c>
      <c r="AK41" s="6">
        <v>26000000</v>
      </c>
      <c r="AL41" s="4" t="s">
        <v>322</v>
      </c>
      <c r="AM41" s="4" t="s">
        <v>278</v>
      </c>
      <c r="AN41" s="4">
        <v>2</v>
      </c>
      <c r="AO41" s="6">
        <v>1.2E-9</v>
      </c>
      <c r="AP41" s="4">
        <v>4.8999999999999998E-5</v>
      </c>
    </row>
    <row r="42" spans="1:42" x14ac:dyDescent="0.25">
      <c r="A42" s="4" t="s">
        <v>323</v>
      </c>
      <c r="B42" s="4" t="s">
        <v>241</v>
      </c>
      <c r="C42" s="4">
        <v>5</v>
      </c>
      <c r="D42" s="4">
        <v>2</v>
      </c>
      <c r="E42" s="4">
        <v>1978</v>
      </c>
      <c r="F42" s="4">
        <v>6.43</v>
      </c>
      <c r="G42" s="4">
        <v>4.1399999999999997</v>
      </c>
      <c r="H42" s="4">
        <v>5.86</v>
      </c>
      <c r="I42" s="4">
        <v>2.83</v>
      </c>
      <c r="J42" s="4">
        <v>6</v>
      </c>
      <c r="K42" s="4">
        <v>3.29</v>
      </c>
      <c r="L42" s="4">
        <v>2.29</v>
      </c>
      <c r="M42" s="4">
        <v>3.14</v>
      </c>
      <c r="N42" s="9">
        <f t="shared" si="1"/>
        <v>5.333333333333333</v>
      </c>
      <c r="O42" s="9">
        <f>IF(B42=B41,SQRT((N42-N41)^2)," ")</f>
        <v>1.8566666666666665</v>
      </c>
      <c r="P42" s="9">
        <f t="shared" si="2"/>
        <v>2.7199999999999998</v>
      </c>
      <c r="X42" s="4">
        <v>0</v>
      </c>
      <c r="Y42" s="4">
        <v>9</v>
      </c>
      <c r="Z42" s="4">
        <v>19</v>
      </c>
      <c r="AA42" s="4">
        <v>9.6999999999999993</v>
      </c>
      <c r="AB42" s="4">
        <v>0.54079900000000003</v>
      </c>
      <c r="AC42" s="4">
        <v>0</v>
      </c>
      <c r="AD42" s="4">
        <v>0</v>
      </c>
      <c r="AE42" s="5">
        <v>598115</v>
      </c>
      <c r="AF42" s="4">
        <v>0.75</v>
      </c>
      <c r="AG42" s="4">
        <v>0.48</v>
      </c>
      <c r="AH42" s="5">
        <v>284375</v>
      </c>
      <c r="AI42" s="4">
        <v>0.17</v>
      </c>
      <c r="AJ42" s="4">
        <v>2104.17</v>
      </c>
      <c r="AK42" s="6">
        <v>28000000</v>
      </c>
      <c r="AL42" s="4" t="s">
        <v>324</v>
      </c>
      <c r="AM42" s="4" t="s">
        <v>281</v>
      </c>
      <c r="AN42" s="4">
        <v>3</v>
      </c>
      <c r="AO42" s="6">
        <v>6.1E-9</v>
      </c>
      <c r="AP42" s="4">
        <v>7.6000000000000004E-5</v>
      </c>
    </row>
    <row r="43" spans="1:42" x14ac:dyDescent="0.25">
      <c r="A43" s="4" t="s">
        <v>325</v>
      </c>
      <c r="B43" s="4" t="s">
        <v>241</v>
      </c>
      <c r="C43" s="4">
        <v>5</v>
      </c>
      <c r="D43" s="4">
        <v>3</v>
      </c>
      <c r="E43" s="4">
        <v>1982</v>
      </c>
      <c r="F43" s="4">
        <v>4.57</v>
      </c>
      <c r="G43" s="4">
        <v>3.71</v>
      </c>
      <c r="H43" s="4">
        <v>4.1399999999999997</v>
      </c>
      <c r="I43" s="4">
        <v>4.83</v>
      </c>
      <c r="J43" s="4">
        <v>4.57</v>
      </c>
      <c r="K43" s="4">
        <v>4</v>
      </c>
      <c r="L43" s="4">
        <v>4</v>
      </c>
      <c r="M43" s="4">
        <v>3.43</v>
      </c>
      <c r="N43" s="9">
        <f t="shared" si="1"/>
        <v>4.1399999999999997</v>
      </c>
      <c r="O43" s="9">
        <f>IF(B43=B42,SQRT((N43-N42)^2)," ")</f>
        <v>1.1933333333333334</v>
      </c>
      <c r="P43" s="9">
        <f t="shared" si="2"/>
        <v>1.8599999999999994</v>
      </c>
      <c r="X43" s="4">
        <v>0</v>
      </c>
      <c r="Y43" s="4">
        <v>9</v>
      </c>
      <c r="Z43" s="4">
        <v>19</v>
      </c>
      <c r="AA43" s="4">
        <v>3.13</v>
      </c>
      <c r="AB43" s="4">
        <v>0.54079900000000003</v>
      </c>
      <c r="AC43" s="4">
        <v>0</v>
      </c>
      <c r="AD43" s="4">
        <v>0</v>
      </c>
      <c r="AE43" s="5">
        <v>-126334</v>
      </c>
      <c r="AF43" s="4">
        <v>0.75</v>
      </c>
      <c r="AG43" s="4">
        <v>0.48</v>
      </c>
      <c r="AH43" s="5">
        <v>284375</v>
      </c>
      <c r="AI43" s="4">
        <v>5.04</v>
      </c>
      <c r="AJ43" s="4">
        <v>2778.46</v>
      </c>
      <c r="AK43" s="6">
        <v>29000000</v>
      </c>
      <c r="AL43" s="4" t="s">
        <v>322</v>
      </c>
      <c r="AM43" s="4" t="s">
        <v>278</v>
      </c>
      <c r="AN43" s="4">
        <v>2</v>
      </c>
      <c r="AO43" s="6">
        <v>1.6999999999999999E-7</v>
      </c>
      <c r="AP43" s="4">
        <v>9.6000000000000002E-5</v>
      </c>
    </row>
    <row r="44" spans="1:42" x14ac:dyDescent="0.25">
      <c r="A44" s="4" t="s">
        <v>326</v>
      </c>
      <c r="B44" s="4" t="s">
        <v>241</v>
      </c>
      <c r="C44" s="4">
        <v>5</v>
      </c>
      <c r="D44" s="4">
        <v>4</v>
      </c>
      <c r="E44" s="4">
        <v>1986</v>
      </c>
      <c r="F44" s="4">
        <v>4.8600000000000003</v>
      </c>
      <c r="G44" s="4">
        <v>5.29</v>
      </c>
      <c r="H44" s="4">
        <v>5.14</v>
      </c>
      <c r="I44" s="4">
        <v>5.33</v>
      </c>
      <c r="J44" s="4">
        <v>5.43</v>
      </c>
      <c r="K44" s="4">
        <v>3.71</v>
      </c>
      <c r="L44" s="4">
        <v>4</v>
      </c>
      <c r="M44" s="4">
        <v>4.71</v>
      </c>
      <c r="N44" s="9">
        <f t="shared" si="1"/>
        <v>5.2866666666666662</v>
      </c>
      <c r="O44" s="9">
        <f>IF(B44=B43,SQRT((N44-N43)^2)," ")</f>
        <v>1.1466666666666665</v>
      </c>
      <c r="P44" s="9">
        <f t="shared" si="2"/>
        <v>0.29000000000000004</v>
      </c>
      <c r="X44" s="4">
        <v>0</v>
      </c>
      <c r="Y44" s="4">
        <v>8.5</v>
      </c>
      <c r="Z44" s="4">
        <v>19</v>
      </c>
      <c r="AA44" s="4">
        <v>13.21</v>
      </c>
      <c r="AB44" s="4">
        <v>0.54079900000000003</v>
      </c>
      <c r="AC44" s="4">
        <v>0</v>
      </c>
      <c r="AD44" s="4">
        <v>0</v>
      </c>
      <c r="AE44" s="5">
        <v>364234</v>
      </c>
      <c r="AF44" s="4">
        <v>0.5</v>
      </c>
      <c r="AG44" s="4">
        <v>0.48</v>
      </c>
      <c r="AH44" s="5">
        <v>284375</v>
      </c>
      <c r="AI44" s="4">
        <v>5.47</v>
      </c>
      <c r="AJ44" s="4">
        <v>3428.55</v>
      </c>
      <c r="AK44" s="6">
        <v>32000000</v>
      </c>
      <c r="AL44" s="4" t="s">
        <v>324</v>
      </c>
      <c r="AM44" s="4" t="s">
        <v>278</v>
      </c>
      <c r="AN44" s="4">
        <v>2</v>
      </c>
      <c r="AO44" s="6">
        <v>1.6999999999999999E-7</v>
      </c>
      <c r="AP44" s="4">
        <v>1.08E-4</v>
      </c>
    </row>
    <row r="45" spans="1:42" x14ac:dyDescent="0.25">
      <c r="A45" s="4" t="s">
        <v>327</v>
      </c>
      <c r="B45" s="4" t="s">
        <v>241</v>
      </c>
      <c r="C45" s="4">
        <v>5</v>
      </c>
      <c r="D45" s="4">
        <v>5</v>
      </c>
      <c r="E45" s="4">
        <v>1990</v>
      </c>
      <c r="F45" s="4">
        <v>5.43</v>
      </c>
      <c r="G45" s="4">
        <v>6.57</v>
      </c>
      <c r="H45" s="4">
        <v>6</v>
      </c>
      <c r="I45" s="4">
        <v>4.5</v>
      </c>
      <c r="J45" s="4">
        <v>6.14</v>
      </c>
      <c r="K45" s="4">
        <v>3.14</v>
      </c>
      <c r="L45" s="4">
        <v>3.71</v>
      </c>
      <c r="M45" s="4">
        <v>4.8600000000000003</v>
      </c>
      <c r="N45" s="9">
        <f t="shared" si="1"/>
        <v>6.2366666666666672</v>
      </c>
      <c r="O45" s="9">
        <f>IF(B45=B44,SQRT((N45-N44)^2)," ")</f>
        <v>0.95000000000000107</v>
      </c>
      <c r="P45" s="9">
        <f t="shared" si="2"/>
        <v>0.5699999999999994</v>
      </c>
      <c r="X45" s="4">
        <v>0</v>
      </c>
      <c r="Y45" s="4">
        <v>7.6</v>
      </c>
      <c r="Z45" s="4">
        <v>16</v>
      </c>
      <c r="AA45" s="4">
        <v>17.52</v>
      </c>
      <c r="AB45" s="4">
        <v>0.54079900000000003</v>
      </c>
      <c r="AC45" s="4">
        <v>1</v>
      </c>
      <c r="AD45" s="4">
        <v>0</v>
      </c>
      <c r="AE45" s="5">
        <v>397844</v>
      </c>
      <c r="AF45" s="4">
        <v>0.625</v>
      </c>
      <c r="AG45" s="4">
        <v>0.46</v>
      </c>
      <c r="AH45" s="5">
        <v>284375</v>
      </c>
      <c r="AI45" s="4">
        <v>6.29</v>
      </c>
      <c r="AJ45" s="4">
        <v>5388.58</v>
      </c>
      <c r="AK45" s="6">
        <v>34000000</v>
      </c>
      <c r="AL45" s="4" t="s">
        <v>324</v>
      </c>
      <c r="AM45" s="4" t="s">
        <v>281</v>
      </c>
      <c r="AN45" s="4">
        <v>3</v>
      </c>
      <c r="AO45" s="6">
        <v>1.8E-7</v>
      </c>
      <c r="AP45" s="4">
        <v>1.5699999999999999E-4</v>
      </c>
    </row>
    <row r="46" spans="1:42" x14ac:dyDescent="0.25">
      <c r="A46" s="4" t="s">
        <v>328</v>
      </c>
      <c r="B46" s="4" t="s">
        <v>241</v>
      </c>
      <c r="C46" s="4">
        <v>5</v>
      </c>
      <c r="D46" s="4">
        <v>6</v>
      </c>
      <c r="E46" s="4">
        <v>1994</v>
      </c>
      <c r="F46" s="4">
        <v>4.1399999999999997</v>
      </c>
      <c r="G46" s="4">
        <v>5</v>
      </c>
      <c r="H46" s="4">
        <v>3.71</v>
      </c>
      <c r="I46" s="4">
        <v>4.33</v>
      </c>
      <c r="J46" s="4">
        <v>3.29</v>
      </c>
      <c r="K46" s="4">
        <v>3.86</v>
      </c>
      <c r="L46" s="4">
        <v>3.14</v>
      </c>
      <c r="M46" s="4">
        <v>3.71</v>
      </c>
      <c r="N46" s="9">
        <f t="shared" si="1"/>
        <v>4</v>
      </c>
      <c r="O46" s="9">
        <f>IF(B46=B45,SQRT((N46-N45)^2)," ")</f>
        <v>2.2366666666666672</v>
      </c>
      <c r="P46" s="9">
        <f t="shared" si="2"/>
        <v>1.29</v>
      </c>
      <c r="X46" s="4">
        <v>0</v>
      </c>
      <c r="Y46" s="4">
        <v>7</v>
      </c>
      <c r="Z46" s="4">
        <v>16</v>
      </c>
      <c r="AA46" s="4">
        <v>23.11</v>
      </c>
      <c r="AB46" s="4">
        <v>0.54079900000000003</v>
      </c>
      <c r="AC46" s="4">
        <v>0</v>
      </c>
      <c r="AD46" s="4">
        <v>0</v>
      </c>
      <c r="AE46" s="5">
        <v>390561</v>
      </c>
      <c r="AF46" s="4">
        <v>0.4</v>
      </c>
      <c r="AG46" s="4">
        <v>0.46</v>
      </c>
      <c r="AH46" s="5">
        <v>284375</v>
      </c>
      <c r="AI46" s="4">
        <v>91.89</v>
      </c>
      <c r="AJ46" s="4">
        <v>7243.84</v>
      </c>
      <c r="AK46" s="6">
        <v>37000000</v>
      </c>
      <c r="AL46" s="4" t="s">
        <v>324</v>
      </c>
      <c r="AM46" s="4" t="s">
        <v>278</v>
      </c>
      <c r="AN46" s="4">
        <v>2</v>
      </c>
      <c r="AO46" s="6">
        <v>2.5000000000000002E-6</v>
      </c>
      <c r="AP46" s="4">
        <v>1.9699999999999999E-4</v>
      </c>
    </row>
    <row r="47" spans="1:42" x14ac:dyDescent="0.25">
      <c r="A47" s="4" t="s">
        <v>329</v>
      </c>
      <c r="B47" s="4" t="s">
        <v>241</v>
      </c>
      <c r="C47" s="4">
        <v>5</v>
      </c>
      <c r="D47" s="4">
        <v>7</v>
      </c>
      <c r="E47" s="4">
        <v>1998</v>
      </c>
      <c r="F47" s="4">
        <v>6</v>
      </c>
      <c r="G47" s="4">
        <v>6.29</v>
      </c>
      <c r="H47" s="4">
        <v>6.14</v>
      </c>
      <c r="I47" s="4">
        <v>3.5</v>
      </c>
      <c r="J47" s="4">
        <v>6.43</v>
      </c>
      <c r="K47" s="4">
        <v>3.14</v>
      </c>
      <c r="L47" s="4">
        <v>3</v>
      </c>
      <c r="M47" s="4">
        <v>3.57</v>
      </c>
      <c r="N47" s="9">
        <f t="shared" si="1"/>
        <v>6.2866666666666662</v>
      </c>
      <c r="O47" s="9">
        <f t="shared" si="5"/>
        <v>2.2866666666666662</v>
      </c>
      <c r="P47" s="9">
        <f t="shared" si="2"/>
        <v>1.8600000000000003</v>
      </c>
      <c r="X47" s="4">
        <v>0</v>
      </c>
      <c r="Y47" s="4">
        <v>6.25</v>
      </c>
      <c r="Z47" s="4">
        <v>16</v>
      </c>
      <c r="AA47" s="4">
        <v>26.9</v>
      </c>
      <c r="AB47" s="4">
        <v>0.54079900000000003</v>
      </c>
      <c r="AC47" s="4">
        <v>0</v>
      </c>
      <c r="AD47" s="4">
        <v>1</v>
      </c>
      <c r="AE47" s="5">
        <v>-116875</v>
      </c>
      <c r="AF47" s="4">
        <v>0.4</v>
      </c>
      <c r="AG47" s="4">
        <v>0.46</v>
      </c>
      <c r="AH47" s="5">
        <v>284375</v>
      </c>
      <c r="AI47" s="4">
        <v>233.92</v>
      </c>
      <c r="AJ47" s="4">
        <v>9661.2099999999991</v>
      </c>
      <c r="AK47" s="6">
        <v>39000000</v>
      </c>
      <c r="AL47" s="4" t="s">
        <v>322</v>
      </c>
      <c r="AM47" s="4" t="s">
        <v>281</v>
      </c>
      <c r="AN47" s="4">
        <v>3</v>
      </c>
      <c r="AO47" s="6">
        <v>6.0000000000000002E-6</v>
      </c>
      <c r="AP47" s="4">
        <v>2.4600000000000002E-4</v>
      </c>
    </row>
    <row r="48" spans="1:42" x14ac:dyDescent="0.25">
      <c r="A48" s="4" t="s">
        <v>330</v>
      </c>
      <c r="B48" s="4" t="s">
        <v>241</v>
      </c>
      <c r="C48" s="4">
        <v>5</v>
      </c>
      <c r="D48" s="4">
        <v>8</v>
      </c>
      <c r="E48" s="4">
        <v>2002</v>
      </c>
      <c r="F48" s="4">
        <v>6.86</v>
      </c>
      <c r="G48" s="4">
        <v>6.71</v>
      </c>
      <c r="H48" s="4">
        <v>6.71</v>
      </c>
      <c r="I48" s="4">
        <v>3</v>
      </c>
      <c r="J48" s="4">
        <v>6.71</v>
      </c>
      <c r="K48" s="4">
        <v>3.86</v>
      </c>
      <c r="L48" s="4">
        <v>3.71</v>
      </c>
      <c r="M48" s="4">
        <v>4.43</v>
      </c>
      <c r="N48" s="9">
        <f t="shared" si="1"/>
        <v>6.71</v>
      </c>
      <c r="O48" s="9">
        <f t="shared" si="5"/>
        <v>0.42333333333333378</v>
      </c>
      <c r="P48" s="9">
        <f t="shared" si="2"/>
        <v>0.86000000000000032</v>
      </c>
      <c r="Q48" s="10">
        <v>1</v>
      </c>
      <c r="R48" s="10">
        <v>1</v>
      </c>
      <c r="S48" s="4">
        <v>2.75</v>
      </c>
      <c r="T48" s="4">
        <v>3.57</v>
      </c>
      <c r="U48" s="8">
        <f>SUM(S48:T48)</f>
        <v>6.32</v>
      </c>
      <c r="V48" s="4">
        <v>0.55000000000000004</v>
      </c>
      <c r="X48" s="4">
        <v>0</v>
      </c>
      <c r="Y48" s="4">
        <v>6.5</v>
      </c>
      <c r="Z48" s="4">
        <v>16</v>
      </c>
      <c r="AA48" s="4">
        <v>47.7</v>
      </c>
      <c r="AB48" s="4">
        <v>0.54079900000000003</v>
      </c>
      <c r="AC48" s="4">
        <v>0</v>
      </c>
      <c r="AD48" s="4">
        <v>0</v>
      </c>
      <c r="AE48" s="4">
        <v>0.82370200000000005</v>
      </c>
      <c r="AF48" s="4">
        <v>0.5</v>
      </c>
      <c r="AG48" s="4">
        <v>0.46</v>
      </c>
      <c r="AH48" s="5">
        <v>284375</v>
      </c>
      <c r="AI48" s="4">
        <v>622.84</v>
      </c>
      <c r="AJ48" s="4">
        <v>9967.6</v>
      </c>
      <c r="AK48" s="6">
        <v>42000000</v>
      </c>
      <c r="AL48" s="4" t="s">
        <v>331</v>
      </c>
      <c r="AM48" s="4" t="s">
        <v>281</v>
      </c>
      <c r="AN48" s="4">
        <v>3</v>
      </c>
      <c r="AO48" s="4">
        <v>1.5E-5</v>
      </c>
      <c r="AP48" s="4">
        <v>2.4000000000000001E-4</v>
      </c>
    </row>
    <row r="49" spans="1:42" x14ac:dyDescent="0.25">
      <c r="A49" s="4" t="s">
        <v>332</v>
      </c>
      <c r="B49" s="4" t="s">
        <v>241</v>
      </c>
      <c r="C49" s="4">
        <v>5</v>
      </c>
      <c r="D49" s="4">
        <v>9</v>
      </c>
      <c r="E49" s="4">
        <v>2006</v>
      </c>
      <c r="F49" s="4">
        <v>6.86</v>
      </c>
      <c r="G49" s="4">
        <v>6.71</v>
      </c>
      <c r="H49" s="4">
        <v>6.71</v>
      </c>
      <c r="I49" s="4">
        <v>2.83</v>
      </c>
      <c r="J49" s="4">
        <v>6.71</v>
      </c>
      <c r="K49" s="4">
        <v>3.86</v>
      </c>
      <c r="L49" s="4">
        <v>3.43</v>
      </c>
      <c r="M49" s="4">
        <v>4.43</v>
      </c>
      <c r="N49" s="9">
        <f t="shared" si="1"/>
        <v>6.71</v>
      </c>
      <c r="O49" s="9">
        <f t="shared" si="5"/>
        <v>0</v>
      </c>
      <c r="P49" s="9">
        <f t="shared" si="2"/>
        <v>0</v>
      </c>
      <c r="Q49" s="10">
        <v>0</v>
      </c>
      <c r="R49" s="10">
        <v>0</v>
      </c>
      <c r="S49" s="4">
        <v>2.84</v>
      </c>
      <c r="T49" s="4">
        <v>3.57</v>
      </c>
      <c r="U49" s="8">
        <f>SUM(S49:T49)</f>
        <v>6.41</v>
      </c>
      <c r="V49" s="4">
        <v>0.57999999999999996</v>
      </c>
      <c r="X49" s="4">
        <v>0</v>
      </c>
      <c r="Y49" s="4">
        <v>7.5</v>
      </c>
      <c r="Z49" s="4">
        <v>16</v>
      </c>
      <c r="AA49" s="4">
        <v>50.23</v>
      </c>
      <c r="AB49" s="4">
        <v>0.54079900000000003</v>
      </c>
      <c r="AC49" s="4">
        <v>0</v>
      </c>
      <c r="AD49" s="4">
        <v>0</v>
      </c>
      <c r="AE49" s="5">
        <v>533971</v>
      </c>
      <c r="AF49" s="4">
        <v>0.35714299999999999</v>
      </c>
      <c r="AG49" s="4">
        <v>0.48</v>
      </c>
      <c r="AH49" s="5">
        <v>284375</v>
      </c>
      <c r="AI49" s="4">
        <v>2078.6999999999998</v>
      </c>
      <c r="AJ49" s="4">
        <v>17205.400000000001</v>
      </c>
      <c r="AK49" s="6">
        <v>44000000</v>
      </c>
      <c r="AL49" s="4" t="s">
        <v>331</v>
      </c>
      <c r="AM49" s="4" t="s">
        <v>281</v>
      </c>
      <c r="AN49" s="4">
        <v>3</v>
      </c>
      <c r="AO49" s="4">
        <v>4.6999999999999997E-5</v>
      </c>
      <c r="AP49" s="4">
        <v>3.88E-4</v>
      </c>
    </row>
    <row r="50" spans="1:42" x14ac:dyDescent="0.25">
      <c r="A50" s="4" t="s">
        <v>438</v>
      </c>
      <c r="B50" s="4" t="s">
        <v>241</v>
      </c>
      <c r="C50" s="4">
        <v>5</v>
      </c>
      <c r="D50" s="4">
        <v>10</v>
      </c>
      <c r="E50" s="4">
        <v>2010</v>
      </c>
      <c r="F50" s="4">
        <v>4.57</v>
      </c>
      <c r="G50" s="4">
        <v>6.71</v>
      </c>
      <c r="H50" s="4">
        <v>6.14</v>
      </c>
      <c r="I50" s="4">
        <v>5.33</v>
      </c>
      <c r="J50" s="4">
        <v>6</v>
      </c>
      <c r="K50" s="4">
        <v>3.71</v>
      </c>
      <c r="L50" s="4">
        <v>5</v>
      </c>
      <c r="M50" s="4">
        <v>5</v>
      </c>
      <c r="N50" s="9">
        <f t="shared" si="1"/>
        <v>6.2833333333333341</v>
      </c>
      <c r="O50" s="9">
        <f t="shared" si="5"/>
        <v>0.42666666666666586</v>
      </c>
      <c r="P50" s="9">
        <f t="shared" si="2"/>
        <v>2.29</v>
      </c>
      <c r="Q50" s="10">
        <v>1</v>
      </c>
      <c r="R50" s="10">
        <v>1</v>
      </c>
      <c r="S50" s="4">
        <v>2.75</v>
      </c>
      <c r="T50" s="4">
        <v>3.76</v>
      </c>
      <c r="U50" s="8">
        <f>SUM(S50:T50)</f>
        <v>6.51</v>
      </c>
      <c r="V50" s="4">
        <v>0.65</v>
      </c>
      <c r="X50" s="4">
        <v>0</v>
      </c>
      <c r="Y50" s="4">
        <v>7</v>
      </c>
      <c r="Z50" s="4">
        <v>16</v>
      </c>
      <c r="AA50" s="4">
        <v>23.1</v>
      </c>
      <c r="AB50" s="4">
        <v>0.54079900000000003</v>
      </c>
      <c r="AC50" s="4">
        <v>0</v>
      </c>
      <c r="AD50" s="4">
        <v>0</v>
      </c>
      <c r="AE50" s="5">
        <v>305012</v>
      </c>
      <c r="AF50" s="4">
        <v>0.35714299999999999</v>
      </c>
      <c r="AG50" s="4">
        <v>0.48</v>
      </c>
      <c r="AH50" s="5">
        <v>284375</v>
      </c>
      <c r="AI50" s="4">
        <v>4833.51</v>
      </c>
      <c r="AJ50" s="4">
        <v>21384.3</v>
      </c>
      <c r="AK50" s="6">
        <v>46000000</v>
      </c>
      <c r="AL50" s="4" t="s">
        <v>333</v>
      </c>
      <c r="AM50" s="4" t="s">
        <v>281</v>
      </c>
      <c r="AN50" s="4">
        <v>3</v>
      </c>
      <c r="AO50" s="4">
        <v>1.05E-4</v>
      </c>
      <c r="AP50" s="4">
        <v>4.66E-4</v>
      </c>
    </row>
    <row r="51" spans="1:42" x14ac:dyDescent="0.25">
      <c r="A51" s="4" t="s">
        <v>439</v>
      </c>
      <c r="B51" s="4" t="s">
        <v>241</v>
      </c>
      <c r="C51" s="4">
        <v>5</v>
      </c>
      <c r="D51" s="4">
        <v>11</v>
      </c>
      <c r="E51" s="4">
        <v>2014</v>
      </c>
      <c r="F51" s="4">
        <v>5</v>
      </c>
      <c r="G51" s="4">
        <v>5.5</v>
      </c>
      <c r="H51" s="4">
        <v>4.75</v>
      </c>
      <c r="I51" s="4">
        <v>5.66</v>
      </c>
      <c r="J51" s="4">
        <v>5</v>
      </c>
      <c r="K51" s="4">
        <v>4.25</v>
      </c>
      <c r="L51" s="4">
        <v>4.5</v>
      </c>
      <c r="M51" s="4">
        <v>5</v>
      </c>
      <c r="N51" s="9">
        <f t="shared" si="1"/>
        <v>5.083333333333333</v>
      </c>
      <c r="O51" s="9">
        <f t="shared" si="5"/>
        <v>1.2000000000000011</v>
      </c>
      <c r="P51" s="9">
        <f t="shared" si="2"/>
        <v>0.42999999999999972</v>
      </c>
      <c r="Q51" s="4">
        <v>0</v>
      </c>
      <c r="R51" s="4">
        <v>0</v>
      </c>
      <c r="S51" s="4">
        <v>2.83</v>
      </c>
      <c r="T51" s="4">
        <v>3.86</v>
      </c>
      <c r="U51" s="8">
        <f>SUM(S51:T51)</f>
        <v>6.6899999999999995</v>
      </c>
      <c r="V51" s="4">
        <v>0.68</v>
      </c>
      <c r="AE51" s="5"/>
      <c r="AH51" s="5"/>
      <c r="AK51" s="6"/>
    </row>
    <row r="52" spans="1:42" x14ac:dyDescent="0.25">
      <c r="A52" s="4" t="s">
        <v>440</v>
      </c>
      <c r="B52" s="4" t="s">
        <v>241</v>
      </c>
      <c r="C52" s="4">
        <v>5</v>
      </c>
      <c r="D52" s="4">
        <v>12</v>
      </c>
      <c r="E52" s="4">
        <v>2018</v>
      </c>
      <c r="F52" s="4">
        <v>6</v>
      </c>
      <c r="G52" s="4">
        <v>5.25</v>
      </c>
      <c r="H52" s="4">
        <v>6.75</v>
      </c>
      <c r="I52" s="4">
        <v>3</v>
      </c>
      <c r="J52" s="4">
        <v>6.25</v>
      </c>
      <c r="K52" s="4">
        <v>4.25</v>
      </c>
      <c r="L52" s="4">
        <v>4</v>
      </c>
      <c r="M52" s="4">
        <v>2.75</v>
      </c>
      <c r="N52" s="9">
        <f t="shared" si="1"/>
        <v>6.083333333333333</v>
      </c>
      <c r="O52" s="9">
        <f t="shared" si="5"/>
        <v>1</v>
      </c>
      <c r="P52" s="9">
        <f t="shared" si="2"/>
        <v>1</v>
      </c>
      <c r="Q52" s="4">
        <v>1</v>
      </c>
      <c r="R52" s="4">
        <v>1</v>
      </c>
      <c r="S52" s="4">
        <v>3.05</v>
      </c>
      <c r="T52" s="4">
        <v>3.87</v>
      </c>
      <c r="U52" s="8">
        <f>SUM(S52:T52)</f>
        <v>6.92</v>
      </c>
      <c r="V52" s="4">
        <v>0.66</v>
      </c>
      <c r="AE52" s="5"/>
      <c r="AH52" s="5"/>
      <c r="AK52" s="6"/>
    </row>
    <row r="53" spans="1:42" x14ac:dyDescent="0.25">
      <c r="A53" s="4" t="s">
        <v>334</v>
      </c>
      <c r="B53" s="4" t="s">
        <v>240</v>
      </c>
      <c r="C53" s="4">
        <v>6</v>
      </c>
      <c r="D53" s="4">
        <v>1</v>
      </c>
      <c r="E53" s="4">
        <v>1978</v>
      </c>
      <c r="F53" s="4">
        <v>2.57</v>
      </c>
      <c r="G53" s="4">
        <v>1.71</v>
      </c>
      <c r="H53" s="4">
        <v>2</v>
      </c>
      <c r="I53" s="4">
        <v>2.29</v>
      </c>
      <c r="J53" s="4">
        <v>1.86</v>
      </c>
      <c r="K53" s="4">
        <v>4.71</v>
      </c>
      <c r="L53" s="4">
        <v>3.14</v>
      </c>
      <c r="M53" s="4">
        <v>2.4300000000000002</v>
      </c>
      <c r="N53" s="9">
        <f t="shared" si="1"/>
        <v>1.8566666666666667</v>
      </c>
      <c r="O53" s="9"/>
      <c r="P53" s="9"/>
      <c r="X53" s="4">
        <v>0</v>
      </c>
      <c r="Y53" s="4">
        <v>12</v>
      </c>
      <c r="Z53" s="4">
        <v>18</v>
      </c>
      <c r="AA53" s="4">
        <v>47.7</v>
      </c>
      <c r="AB53" s="4">
        <v>0.31989600000000001</v>
      </c>
      <c r="AC53" s="4">
        <v>0</v>
      </c>
      <c r="AD53" s="4">
        <v>0</v>
      </c>
      <c r="AE53" s="5">
        <v>340734</v>
      </c>
      <c r="AF53" s="4">
        <v>0</v>
      </c>
      <c r="AG53" s="4">
        <v>0.21</v>
      </c>
      <c r="AH53" s="4">
        <v>4.25</v>
      </c>
      <c r="AI53" s="4">
        <v>0.68</v>
      </c>
      <c r="AJ53" s="4">
        <v>708.44</v>
      </c>
      <c r="AK53" s="6">
        <v>2300000</v>
      </c>
      <c r="AL53" s="4" t="s">
        <v>335</v>
      </c>
      <c r="AM53" s="4" t="s">
        <v>281</v>
      </c>
      <c r="AN53" s="4">
        <v>3</v>
      </c>
      <c r="AO53" s="6">
        <v>2.9999999999999999E-7</v>
      </c>
      <c r="AP53" s="4">
        <v>3.1300000000000002E-4</v>
      </c>
    </row>
    <row r="54" spans="1:42" x14ac:dyDescent="0.25">
      <c r="A54" s="4" t="s">
        <v>336</v>
      </c>
      <c r="B54" s="4" t="s">
        <v>240</v>
      </c>
      <c r="C54" s="4">
        <v>6</v>
      </c>
      <c r="D54" s="4">
        <v>2</v>
      </c>
      <c r="E54" s="4">
        <v>1982</v>
      </c>
      <c r="F54" s="4">
        <v>4.57</v>
      </c>
      <c r="G54" s="4">
        <v>3.86</v>
      </c>
      <c r="H54" s="4">
        <v>4.29</v>
      </c>
      <c r="I54" s="4">
        <v>4.29</v>
      </c>
      <c r="J54" s="4">
        <v>5.14</v>
      </c>
      <c r="K54" s="4">
        <v>4.71</v>
      </c>
      <c r="L54" s="4">
        <v>3.86</v>
      </c>
      <c r="M54" s="4">
        <v>3.43</v>
      </c>
      <c r="N54" s="9">
        <f t="shared" si="1"/>
        <v>4.43</v>
      </c>
      <c r="O54" s="9">
        <f t="shared" si="5"/>
        <v>2.5733333333333333</v>
      </c>
      <c r="P54" s="9">
        <f t="shared" si="2"/>
        <v>2.0000000000000004</v>
      </c>
      <c r="X54" s="4">
        <v>0</v>
      </c>
      <c r="Y54" s="4">
        <v>12</v>
      </c>
      <c r="Z54" s="4">
        <v>18</v>
      </c>
      <c r="AA54" s="4">
        <v>23.7</v>
      </c>
      <c r="AB54" s="4">
        <v>0.31989600000000001</v>
      </c>
      <c r="AC54" s="4">
        <v>0</v>
      </c>
      <c r="AD54" s="4">
        <v>0</v>
      </c>
      <c r="AE54" s="5">
        <v>-984254</v>
      </c>
      <c r="AF54" s="4">
        <v>0</v>
      </c>
      <c r="AG54" s="4">
        <v>0.21</v>
      </c>
      <c r="AH54" s="4">
        <v>4.25</v>
      </c>
      <c r="AI54" s="4">
        <v>0.3</v>
      </c>
      <c r="AJ54" s="4">
        <v>738.69</v>
      </c>
      <c r="AK54" s="6">
        <v>2500000</v>
      </c>
      <c r="AL54" s="4" t="s">
        <v>337</v>
      </c>
      <c r="AM54" s="4" t="s">
        <v>278</v>
      </c>
      <c r="AN54" s="4">
        <v>2</v>
      </c>
      <c r="AO54" s="6">
        <v>1.1999999999999999E-7</v>
      </c>
      <c r="AP54" s="4">
        <v>2.9300000000000002E-4</v>
      </c>
    </row>
    <row r="55" spans="1:42" x14ac:dyDescent="0.25">
      <c r="A55" s="4" t="s">
        <v>338</v>
      </c>
      <c r="B55" s="4" t="s">
        <v>240</v>
      </c>
      <c r="C55" s="4">
        <v>6</v>
      </c>
      <c r="D55" s="4">
        <v>3</v>
      </c>
      <c r="E55" s="4">
        <v>1986</v>
      </c>
      <c r="F55" s="4">
        <v>5</v>
      </c>
      <c r="G55" s="4">
        <v>5</v>
      </c>
      <c r="H55" s="4">
        <v>4.1399999999999997</v>
      </c>
      <c r="I55" s="4">
        <v>4.57</v>
      </c>
      <c r="J55" s="4">
        <v>3.57</v>
      </c>
      <c r="K55" s="4">
        <v>4.71</v>
      </c>
      <c r="L55" s="4">
        <v>4.8600000000000003</v>
      </c>
      <c r="M55" s="4">
        <v>4</v>
      </c>
      <c r="N55" s="9">
        <f t="shared" si="1"/>
        <v>4.2366666666666672</v>
      </c>
      <c r="O55" s="9">
        <f t="shared" si="5"/>
        <v>0.19333333333333247</v>
      </c>
      <c r="P55" s="9">
        <f t="shared" si="2"/>
        <v>0.42999999999999972</v>
      </c>
      <c r="X55" s="4">
        <v>0</v>
      </c>
      <c r="Y55" s="4">
        <v>12</v>
      </c>
      <c r="Z55" s="4">
        <v>18</v>
      </c>
      <c r="AA55" s="4">
        <v>18.54</v>
      </c>
      <c r="AB55" s="4">
        <v>0.31989600000000001</v>
      </c>
      <c r="AC55" s="4">
        <v>0</v>
      </c>
      <c r="AD55" s="4">
        <v>0</v>
      </c>
      <c r="AE55" s="5">
        <v>295675</v>
      </c>
      <c r="AF55" s="4">
        <v>0</v>
      </c>
      <c r="AG55" s="4">
        <v>0.21</v>
      </c>
      <c r="AH55" s="4">
        <v>4.25</v>
      </c>
      <c r="AI55" s="4">
        <v>0.69</v>
      </c>
      <c r="AJ55" s="4">
        <v>1129.99</v>
      </c>
      <c r="AK55" s="6">
        <v>2800000</v>
      </c>
      <c r="AL55" s="4" t="s">
        <v>337</v>
      </c>
      <c r="AM55" s="4" t="s">
        <v>285</v>
      </c>
      <c r="AN55" s="4">
        <v>1</v>
      </c>
      <c r="AO55" s="6">
        <v>2.4999999999999999E-7</v>
      </c>
      <c r="AP55" s="4">
        <v>4.0299999999999998E-4</v>
      </c>
    </row>
    <row r="56" spans="1:42" x14ac:dyDescent="0.25">
      <c r="A56" s="4" t="s">
        <v>339</v>
      </c>
      <c r="B56" s="4" t="s">
        <v>240</v>
      </c>
      <c r="C56" s="4">
        <v>6</v>
      </c>
      <c r="D56" s="4">
        <v>4</v>
      </c>
      <c r="E56" s="4">
        <v>1990</v>
      </c>
      <c r="F56" s="4">
        <v>5</v>
      </c>
      <c r="G56" s="4">
        <v>5</v>
      </c>
      <c r="H56" s="4">
        <v>5.14</v>
      </c>
      <c r="I56" s="4">
        <v>5</v>
      </c>
      <c r="J56" s="4">
        <v>4.8600000000000003</v>
      </c>
      <c r="K56" s="4">
        <v>4</v>
      </c>
      <c r="L56" s="4">
        <v>3.29</v>
      </c>
      <c r="M56" s="4">
        <v>4</v>
      </c>
      <c r="N56" s="9">
        <f t="shared" si="1"/>
        <v>5</v>
      </c>
      <c r="O56" s="9">
        <f t="shared" si="5"/>
        <v>0.76333333333333275</v>
      </c>
      <c r="P56" s="9">
        <f t="shared" si="2"/>
        <v>0</v>
      </c>
      <c r="X56" s="4">
        <v>0</v>
      </c>
      <c r="Y56" s="4">
        <v>11.5</v>
      </c>
      <c r="Z56" s="4">
        <v>18</v>
      </c>
      <c r="AA56" s="4">
        <v>12.69</v>
      </c>
      <c r="AB56" s="4">
        <v>0.31989600000000001</v>
      </c>
      <c r="AC56" s="4">
        <v>1</v>
      </c>
      <c r="AD56" s="4">
        <v>0</v>
      </c>
      <c r="AE56" s="5">
        <v>129336</v>
      </c>
      <c r="AF56" s="4">
        <v>0</v>
      </c>
      <c r="AG56" s="4">
        <v>0.15</v>
      </c>
      <c r="AH56" s="4">
        <v>4.25</v>
      </c>
      <c r="AI56" s="4">
        <v>0.11</v>
      </c>
      <c r="AJ56" s="4">
        <v>1927.54</v>
      </c>
      <c r="AK56" s="6">
        <v>3100000</v>
      </c>
      <c r="AL56" s="4" t="s">
        <v>340</v>
      </c>
      <c r="AM56" s="4" t="s">
        <v>281</v>
      </c>
      <c r="AN56" s="4">
        <v>3</v>
      </c>
      <c r="AO56" s="6">
        <v>3.5999999999999998E-8</v>
      </c>
      <c r="AP56" s="4">
        <v>6.2299999999999996E-4</v>
      </c>
    </row>
    <row r="57" spans="1:42" x14ac:dyDescent="0.25">
      <c r="A57" s="4" t="s">
        <v>341</v>
      </c>
      <c r="B57" s="4" t="s">
        <v>240</v>
      </c>
      <c r="C57" s="4">
        <v>6</v>
      </c>
      <c r="D57" s="4">
        <v>5</v>
      </c>
      <c r="E57" s="4">
        <v>1994</v>
      </c>
      <c r="F57" s="4">
        <v>4.71</v>
      </c>
      <c r="G57" s="4">
        <v>5.43</v>
      </c>
      <c r="H57" s="4">
        <v>4.43</v>
      </c>
      <c r="I57" s="4">
        <v>4.57</v>
      </c>
      <c r="J57" s="4">
        <v>4.71</v>
      </c>
      <c r="K57" s="4">
        <v>3.86</v>
      </c>
      <c r="L57" s="4">
        <v>4.1399999999999997</v>
      </c>
      <c r="M57" s="4">
        <v>4.71</v>
      </c>
      <c r="N57" s="9">
        <f t="shared" si="1"/>
        <v>4.8566666666666665</v>
      </c>
      <c r="O57" s="9">
        <f t="shared" si="5"/>
        <v>0.14333333333333353</v>
      </c>
      <c r="P57" s="9">
        <f t="shared" si="2"/>
        <v>0.29000000000000004</v>
      </c>
      <c r="X57" s="4">
        <v>0</v>
      </c>
      <c r="Y57" s="4">
        <v>11</v>
      </c>
      <c r="Z57" s="4">
        <v>18</v>
      </c>
      <c r="AA57" s="4">
        <v>11.54</v>
      </c>
      <c r="AB57" s="4">
        <v>0.31989600000000001</v>
      </c>
      <c r="AC57" s="4">
        <v>0</v>
      </c>
      <c r="AD57" s="4">
        <v>0</v>
      </c>
      <c r="AE57" s="5">
        <v>22168</v>
      </c>
      <c r="AF57" s="4">
        <v>0</v>
      </c>
      <c r="AG57" s="4">
        <v>0.15</v>
      </c>
      <c r="AH57" s="4">
        <v>4.25</v>
      </c>
      <c r="AI57" s="4">
        <v>21.52</v>
      </c>
      <c r="AJ57" s="4">
        <v>3117.73</v>
      </c>
      <c r="AK57" s="6">
        <v>3400000</v>
      </c>
      <c r="AL57" s="4" t="s">
        <v>337</v>
      </c>
      <c r="AM57" s="4" t="s">
        <v>278</v>
      </c>
      <c r="AN57" s="4">
        <v>2</v>
      </c>
      <c r="AO57" s="6">
        <v>6.2999999999999998E-6</v>
      </c>
      <c r="AP57" s="4">
        <v>9.1E-4</v>
      </c>
    </row>
    <row r="58" spans="1:42" x14ac:dyDescent="0.25">
      <c r="A58" s="4" t="s">
        <v>342</v>
      </c>
      <c r="B58" s="4" t="s">
        <v>240</v>
      </c>
      <c r="C58" s="4">
        <v>6</v>
      </c>
      <c r="D58" s="4">
        <v>6</v>
      </c>
      <c r="E58" s="4">
        <v>1998</v>
      </c>
      <c r="F58" s="4">
        <v>4.71</v>
      </c>
      <c r="G58" s="4">
        <v>5.43</v>
      </c>
      <c r="H58" s="4">
        <v>5.29</v>
      </c>
      <c r="I58" s="4">
        <v>4.71</v>
      </c>
      <c r="J58" s="4">
        <v>5.14</v>
      </c>
      <c r="K58" s="4">
        <v>3.43</v>
      </c>
      <c r="L58" s="4">
        <v>3.43</v>
      </c>
      <c r="M58" s="4">
        <v>4.29</v>
      </c>
      <c r="N58" s="9">
        <f t="shared" si="1"/>
        <v>5.2866666666666662</v>
      </c>
      <c r="O58" s="9">
        <f t="shared" si="5"/>
        <v>0.42999999999999972</v>
      </c>
      <c r="P58" s="9">
        <f t="shared" si="2"/>
        <v>0</v>
      </c>
      <c r="X58" s="4">
        <v>0</v>
      </c>
      <c r="Y58" s="4">
        <v>11</v>
      </c>
      <c r="Z58" s="4">
        <v>18</v>
      </c>
      <c r="AA58" s="4">
        <v>13.3</v>
      </c>
      <c r="AB58" s="4">
        <v>0.31989600000000001</v>
      </c>
      <c r="AC58" s="4">
        <v>0</v>
      </c>
      <c r="AD58" s="4">
        <v>1</v>
      </c>
      <c r="AE58" s="5">
        <v>572831</v>
      </c>
      <c r="AF58" s="4">
        <v>0</v>
      </c>
      <c r="AG58" s="4">
        <v>0.19</v>
      </c>
      <c r="AH58" s="4">
        <v>4.25</v>
      </c>
      <c r="AI58" s="4">
        <v>65.33</v>
      </c>
      <c r="AJ58" s="4">
        <v>4722.1400000000003</v>
      </c>
      <c r="AK58" s="6">
        <v>3800000</v>
      </c>
      <c r="AL58" s="4" t="s">
        <v>340</v>
      </c>
      <c r="AM58" s="4" t="s">
        <v>281</v>
      </c>
      <c r="AN58" s="4">
        <v>3</v>
      </c>
      <c r="AO58" s="4">
        <v>1.7E-5</v>
      </c>
      <c r="AP58" s="4">
        <v>1.253E-3</v>
      </c>
    </row>
    <row r="59" spans="1:42" x14ac:dyDescent="0.25">
      <c r="A59" s="4" t="s">
        <v>343</v>
      </c>
      <c r="B59" s="4" t="s">
        <v>240</v>
      </c>
      <c r="C59" s="4">
        <v>6</v>
      </c>
      <c r="D59" s="4">
        <v>7</v>
      </c>
      <c r="E59" s="4">
        <v>2002</v>
      </c>
      <c r="F59" s="4">
        <v>4.57</v>
      </c>
      <c r="G59" s="4">
        <v>5.14</v>
      </c>
      <c r="H59" s="4">
        <v>5.14</v>
      </c>
      <c r="I59" s="4">
        <v>4.43</v>
      </c>
      <c r="J59" s="4">
        <v>5.71</v>
      </c>
      <c r="K59" s="4">
        <v>3.43</v>
      </c>
      <c r="L59" s="4">
        <v>2.71</v>
      </c>
      <c r="M59" s="4">
        <v>3.57</v>
      </c>
      <c r="N59" s="9">
        <f t="shared" si="1"/>
        <v>5.3299999999999992</v>
      </c>
      <c r="O59" s="9">
        <f t="shared" si="5"/>
        <v>4.3333333333333002E-2</v>
      </c>
      <c r="P59" s="9">
        <f t="shared" si="2"/>
        <v>0.13999999999999968</v>
      </c>
      <c r="Q59" s="10">
        <v>0</v>
      </c>
      <c r="R59" s="10">
        <v>1</v>
      </c>
      <c r="S59" s="4">
        <v>0.8</v>
      </c>
      <c r="T59" s="4">
        <v>2.46</v>
      </c>
      <c r="U59" s="8">
        <f>SUM(S59:T59)</f>
        <v>3.26</v>
      </c>
      <c r="V59" s="8">
        <v>0.9</v>
      </c>
      <c r="X59" s="4">
        <v>0</v>
      </c>
      <c r="Y59" s="4">
        <v>11.5</v>
      </c>
      <c r="Z59" s="4">
        <v>18</v>
      </c>
      <c r="AA59" s="4">
        <v>30.33</v>
      </c>
      <c r="AB59" s="4">
        <v>0.31989600000000001</v>
      </c>
      <c r="AC59" s="4">
        <v>0</v>
      </c>
      <c r="AD59" s="4">
        <v>0</v>
      </c>
      <c r="AE59" s="4">
        <v>0.81095300000000003</v>
      </c>
      <c r="AF59" s="4">
        <v>0</v>
      </c>
      <c r="AG59" s="4">
        <v>0.19</v>
      </c>
      <c r="AH59" s="4">
        <v>4.25</v>
      </c>
      <c r="AI59" s="4">
        <v>330.33</v>
      </c>
      <c r="AJ59" s="4">
        <v>4934.79</v>
      </c>
      <c r="AK59" s="6">
        <v>4100000</v>
      </c>
      <c r="AL59" s="4" t="s">
        <v>340</v>
      </c>
      <c r="AM59" s="4" t="s">
        <v>281</v>
      </c>
      <c r="AN59" s="4">
        <v>3</v>
      </c>
      <c r="AO59" s="4">
        <v>8.1000000000000004E-5</v>
      </c>
      <c r="AP59" s="4">
        <v>1.2149999999999999E-3</v>
      </c>
    </row>
    <row r="60" spans="1:42" x14ac:dyDescent="0.25">
      <c r="A60" s="4" t="s">
        <v>344</v>
      </c>
      <c r="B60" s="4" t="s">
        <v>240</v>
      </c>
      <c r="C60" s="4">
        <v>6</v>
      </c>
      <c r="D60" s="4">
        <v>8</v>
      </c>
      <c r="E60" s="4">
        <v>2006</v>
      </c>
      <c r="F60" s="4">
        <v>5</v>
      </c>
      <c r="G60" s="4">
        <v>6.17</v>
      </c>
      <c r="H60" s="4">
        <v>6</v>
      </c>
      <c r="I60" s="4">
        <v>6.14</v>
      </c>
      <c r="J60" s="4">
        <v>5.57</v>
      </c>
      <c r="K60" s="4">
        <v>3.86</v>
      </c>
      <c r="L60" s="4">
        <v>4.8600000000000003</v>
      </c>
      <c r="M60" s="4">
        <v>5</v>
      </c>
      <c r="N60" s="9">
        <f t="shared" si="1"/>
        <v>5.913333333333334</v>
      </c>
      <c r="O60" s="9">
        <f t="shared" si="5"/>
        <v>0.58333333333333481</v>
      </c>
      <c r="P60" s="9">
        <f t="shared" si="2"/>
        <v>0.42999999999999972</v>
      </c>
      <c r="Q60" s="10">
        <v>1</v>
      </c>
      <c r="R60" s="10">
        <v>1</v>
      </c>
      <c r="S60" s="4">
        <v>0.8</v>
      </c>
      <c r="T60" s="4">
        <v>2.46</v>
      </c>
      <c r="U60" s="8">
        <f>SUM(S60:T60)</f>
        <v>3.26</v>
      </c>
      <c r="V60" s="4">
        <v>0.91</v>
      </c>
      <c r="X60" s="4">
        <v>0</v>
      </c>
      <c r="Y60" s="4">
        <v>12</v>
      </c>
      <c r="Z60" s="4">
        <v>18</v>
      </c>
      <c r="AA60" s="4">
        <v>27.11</v>
      </c>
      <c r="AB60" s="4">
        <v>0.31989600000000001</v>
      </c>
      <c r="AC60" s="4">
        <v>0</v>
      </c>
      <c r="AD60" s="4">
        <v>0</v>
      </c>
      <c r="AE60" s="5">
        <v>711272</v>
      </c>
      <c r="AF60" s="4">
        <v>0</v>
      </c>
      <c r="AG60" s="4">
        <v>0.19</v>
      </c>
      <c r="AH60" s="4">
        <v>4.25</v>
      </c>
      <c r="AI60" s="4">
        <v>2552.81</v>
      </c>
      <c r="AJ60" s="4">
        <v>8629.33</v>
      </c>
      <c r="AK60" s="6">
        <v>4300000</v>
      </c>
      <c r="AL60" s="4" t="s">
        <v>337</v>
      </c>
      <c r="AM60" s="4" t="s">
        <v>278</v>
      </c>
      <c r="AN60" s="4">
        <v>2</v>
      </c>
      <c r="AO60" s="4">
        <v>5.9199999999999997E-4</v>
      </c>
      <c r="AP60" s="4">
        <v>2.003E-3</v>
      </c>
    </row>
    <row r="61" spans="1:42" x14ac:dyDescent="0.25">
      <c r="A61" s="4" t="s">
        <v>345</v>
      </c>
      <c r="B61" s="4" t="s">
        <v>240</v>
      </c>
      <c r="C61" s="4">
        <v>6</v>
      </c>
      <c r="D61" s="4">
        <v>9</v>
      </c>
      <c r="E61" s="4">
        <v>2010</v>
      </c>
      <c r="F61" s="4">
        <v>5.14</v>
      </c>
      <c r="G61" s="4">
        <v>6.14</v>
      </c>
      <c r="H61" s="4">
        <v>5.43</v>
      </c>
      <c r="I61" s="4">
        <v>5</v>
      </c>
      <c r="J61" s="4">
        <v>5.43</v>
      </c>
      <c r="K61" s="4">
        <v>4.57</v>
      </c>
      <c r="L61" s="4">
        <v>4</v>
      </c>
      <c r="M61" s="4">
        <v>4.8600000000000003</v>
      </c>
      <c r="N61" s="9">
        <f t="shared" si="1"/>
        <v>5.666666666666667</v>
      </c>
      <c r="O61" s="9">
        <f t="shared" si="5"/>
        <v>0.24666666666666703</v>
      </c>
      <c r="P61" s="9">
        <f t="shared" si="2"/>
        <v>0.13999999999999968</v>
      </c>
      <c r="Q61" s="10">
        <v>0</v>
      </c>
      <c r="R61" s="10">
        <v>1</v>
      </c>
      <c r="S61" s="4">
        <v>1.19</v>
      </c>
      <c r="T61" s="4">
        <v>2.17</v>
      </c>
      <c r="U61" s="8">
        <f>SUM(S61:T61)</f>
        <v>3.36</v>
      </c>
      <c r="V61" s="4">
        <v>0.92</v>
      </c>
      <c r="X61" s="4">
        <v>0</v>
      </c>
      <c r="Y61" s="4">
        <v>12</v>
      </c>
      <c r="Z61" s="4">
        <v>18</v>
      </c>
      <c r="AA61" s="4">
        <v>19.59</v>
      </c>
      <c r="AB61" s="4">
        <v>0.31989600000000001</v>
      </c>
      <c r="AC61" s="4">
        <v>0</v>
      </c>
      <c r="AD61" s="4">
        <v>0</v>
      </c>
      <c r="AE61" s="5">
        <v>-27868</v>
      </c>
      <c r="AF61" s="4">
        <v>0</v>
      </c>
      <c r="AG61" s="4">
        <v>0.19</v>
      </c>
      <c r="AH61" s="4">
        <v>4.25</v>
      </c>
      <c r="AI61" s="4">
        <v>4382.17</v>
      </c>
      <c r="AJ61" s="4">
        <v>10604.8</v>
      </c>
      <c r="AK61" s="6">
        <v>4500000</v>
      </c>
      <c r="AL61" s="4" t="s">
        <v>337</v>
      </c>
      <c r="AM61" s="4" t="s">
        <v>278</v>
      </c>
      <c r="AN61" s="4">
        <v>2</v>
      </c>
      <c r="AO61" s="4">
        <v>9.6400000000000001E-4</v>
      </c>
      <c r="AP61" s="4">
        <v>2.333E-3</v>
      </c>
    </row>
    <row r="62" spans="1:42" x14ac:dyDescent="0.25">
      <c r="A62" s="4" t="s">
        <v>441</v>
      </c>
      <c r="B62" s="4" t="s">
        <v>240</v>
      </c>
      <c r="C62" s="4">
        <v>6</v>
      </c>
      <c r="D62" s="4">
        <v>10</v>
      </c>
      <c r="E62" s="4">
        <v>2014</v>
      </c>
      <c r="F62" s="4">
        <v>3.5</v>
      </c>
      <c r="G62" s="4">
        <v>3.5</v>
      </c>
      <c r="H62" s="4">
        <v>5.5</v>
      </c>
      <c r="I62" s="4">
        <v>4</v>
      </c>
      <c r="J62" s="4">
        <v>3.5</v>
      </c>
      <c r="K62" s="4">
        <v>4.5</v>
      </c>
      <c r="L62" s="4">
        <v>4.5</v>
      </c>
      <c r="M62" s="4">
        <v>4.5</v>
      </c>
      <c r="N62" s="9">
        <f t="shared" si="1"/>
        <v>4.166666666666667</v>
      </c>
      <c r="O62" s="9">
        <f t="shared" si="5"/>
        <v>1.5</v>
      </c>
      <c r="P62" s="9">
        <f t="shared" si="2"/>
        <v>1.6399999999999997</v>
      </c>
      <c r="Q62" s="10">
        <v>1</v>
      </c>
      <c r="R62" s="10">
        <v>1</v>
      </c>
      <c r="S62" s="4">
        <v>1.19</v>
      </c>
      <c r="T62" s="4">
        <v>2.19</v>
      </c>
      <c r="U62" s="8">
        <f>SUM(S62:T62)</f>
        <v>3.38</v>
      </c>
      <c r="V62" s="4">
        <v>0.91</v>
      </c>
      <c r="AE62" s="5"/>
      <c r="AK62" s="6"/>
    </row>
    <row r="63" spans="1:42" x14ac:dyDescent="0.25">
      <c r="A63" s="4" t="s">
        <v>442</v>
      </c>
      <c r="B63" s="4" t="s">
        <v>240</v>
      </c>
      <c r="C63" s="4">
        <v>6</v>
      </c>
      <c r="D63" s="4">
        <v>11</v>
      </c>
      <c r="E63" s="4">
        <v>2018</v>
      </c>
      <c r="F63" s="4">
        <v>3.5</v>
      </c>
      <c r="G63" s="4">
        <v>4</v>
      </c>
      <c r="H63" s="4">
        <v>5.5</v>
      </c>
      <c r="I63" s="4">
        <v>4.5</v>
      </c>
      <c r="J63" s="4">
        <v>4</v>
      </c>
      <c r="K63" s="4">
        <v>4</v>
      </c>
      <c r="L63" s="4">
        <v>5</v>
      </c>
      <c r="M63" s="4">
        <v>4.5</v>
      </c>
      <c r="N63" s="9">
        <f t="shared" si="1"/>
        <v>4.5</v>
      </c>
      <c r="O63" s="9">
        <f t="shared" si="5"/>
        <v>0.33333333333333304</v>
      </c>
      <c r="P63" s="9">
        <f t="shared" si="2"/>
        <v>0</v>
      </c>
      <c r="Q63" s="10">
        <v>0</v>
      </c>
      <c r="R63" s="10">
        <v>1</v>
      </c>
      <c r="S63" s="4">
        <v>0.89</v>
      </c>
      <c r="T63" s="4">
        <v>2.0299999999999998</v>
      </c>
      <c r="U63" s="8">
        <f>SUM(S63:T63)</f>
        <v>2.92</v>
      </c>
      <c r="V63" s="8">
        <v>0.9</v>
      </c>
      <c r="AE63" s="5"/>
      <c r="AK63" s="6"/>
    </row>
    <row r="64" spans="1:42" x14ac:dyDescent="0.25">
      <c r="A64" s="4" t="s">
        <v>346</v>
      </c>
      <c r="B64" s="4" t="s">
        <v>239</v>
      </c>
      <c r="C64" s="4">
        <v>8</v>
      </c>
      <c r="D64" s="4">
        <v>1</v>
      </c>
      <c r="E64" s="4">
        <v>1979</v>
      </c>
      <c r="F64" s="4">
        <v>2.67</v>
      </c>
      <c r="G64" s="4">
        <v>3.17</v>
      </c>
      <c r="H64" s="4">
        <v>3</v>
      </c>
      <c r="I64" s="4">
        <v>3.5</v>
      </c>
      <c r="J64" s="4">
        <v>3</v>
      </c>
      <c r="K64" s="4">
        <v>4</v>
      </c>
      <c r="L64" s="4">
        <v>4</v>
      </c>
      <c r="M64" s="4">
        <v>3.67</v>
      </c>
      <c r="N64" s="9">
        <f t="shared" si="1"/>
        <v>3.0566666666666666</v>
      </c>
      <c r="O64" s="9"/>
      <c r="P64" s="9"/>
      <c r="X64" s="4">
        <v>0</v>
      </c>
      <c r="Y64" s="4">
        <v>10</v>
      </c>
      <c r="Z64" s="4">
        <v>17</v>
      </c>
      <c r="AB64" s="4">
        <v>0.35399799999999998</v>
      </c>
      <c r="AC64" s="4">
        <v>0</v>
      </c>
      <c r="AD64" s="4">
        <v>0</v>
      </c>
      <c r="AE64" s="5">
        <v>228781</v>
      </c>
      <c r="AF64" s="4">
        <v>0.375</v>
      </c>
      <c r="AG64" s="4">
        <v>0.36</v>
      </c>
      <c r="AH64" s="4">
        <v>3</v>
      </c>
      <c r="AI64" s="4">
        <v>3.96</v>
      </c>
      <c r="AJ64" s="4">
        <v>1529.98</v>
      </c>
      <c r="AK64" s="6">
        <v>7800000</v>
      </c>
      <c r="AL64" s="4" t="s">
        <v>347</v>
      </c>
      <c r="AM64" s="4" t="s">
        <v>285</v>
      </c>
      <c r="AN64" s="4">
        <v>1</v>
      </c>
      <c r="AO64" s="6">
        <v>5.0999999999999999E-7</v>
      </c>
      <c r="AP64" s="4">
        <v>1.9699999999999999E-4</v>
      </c>
    </row>
    <row r="65" spans="1:42" x14ac:dyDescent="0.25">
      <c r="A65" s="4" t="s">
        <v>348</v>
      </c>
      <c r="B65" s="4" t="s">
        <v>239</v>
      </c>
      <c r="C65" s="4">
        <v>8</v>
      </c>
      <c r="D65" s="4">
        <v>2</v>
      </c>
      <c r="E65" s="4">
        <v>1981</v>
      </c>
      <c r="F65" s="4">
        <v>5.33</v>
      </c>
      <c r="G65" s="4">
        <v>5</v>
      </c>
      <c r="H65" s="4">
        <v>5.5</v>
      </c>
      <c r="I65" s="4">
        <v>4.5</v>
      </c>
      <c r="J65" s="4">
        <v>5.67</v>
      </c>
      <c r="K65" s="4">
        <v>3.17</v>
      </c>
      <c r="L65" s="4">
        <v>3</v>
      </c>
      <c r="M65" s="4">
        <v>3.83</v>
      </c>
      <c r="N65" s="9">
        <f t="shared" si="1"/>
        <v>5.3900000000000006</v>
      </c>
      <c r="O65" s="9">
        <f t="shared" si="5"/>
        <v>2.3333333333333339</v>
      </c>
      <c r="P65" s="9">
        <f t="shared" si="2"/>
        <v>2.66</v>
      </c>
      <c r="X65" s="4">
        <v>0</v>
      </c>
      <c r="Y65" s="4">
        <v>10</v>
      </c>
      <c r="Z65" s="4">
        <v>17</v>
      </c>
      <c r="AA65" s="4">
        <v>15</v>
      </c>
      <c r="AB65" s="4">
        <v>0.35399799999999998</v>
      </c>
      <c r="AC65" s="4">
        <v>0</v>
      </c>
      <c r="AD65" s="4">
        <v>0</v>
      </c>
      <c r="AE65" s="4">
        <v>0.55874199999999996</v>
      </c>
      <c r="AF65" s="4">
        <v>0.25</v>
      </c>
      <c r="AG65" s="4">
        <v>0.36</v>
      </c>
      <c r="AH65" s="4">
        <v>3</v>
      </c>
      <c r="AI65" s="4">
        <v>6.34</v>
      </c>
      <c r="AJ65" s="4">
        <v>1860.61</v>
      </c>
      <c r="AK65" s="6">
        <v>8200000</v>
      </c>
      <c r="AL65" s="4" t="s">
        <v>349</v>
      </c>
      <c r="AM65" s="4" t="s">
        <v>296</v>
      </c>
      <c r="AN65" s="4">
        <v>4</v>
      </c>
      <c r="AO65" s="6">
        <v>7.7000000000000004E-7</v>
      </c>
      <c r="AP65" s="4">
        <v>2.2699999999999999E-4</v>
      </c>
    </row>
    <row r="66" spans="1:42" x14ac:dyDescent="0.25">
      <c r="A66" s="4" t="s">
        <v>350</v>
      </c>
      <c r="B66" s="4" t="s">
        <v>239</v>
      </c>
      <c r="C66" s="4">
        <v>8</v>
      </c>
      <c r="D66" s="4">
        <v>3</v>
      </c>
      <c r="E66" s="4">
        <v>1984</v>
      </c>
      <c r="F66" s="4">
        <v>6.5</v>
      </c>
      <c r="G66" s="4">
        <v>6.17</v>
      </c>
      <c r="H66" s="4">
        <v>6.5</v>
      </c>
      <c r="I66" s="4">
        <v>5.33</v>
      </c>
      <c r="J66" s="4">
        <v>6.5</v>
      </c>
      <c r="K66" s="4">
        <v>3</v>
      </c>
      <c r="L66" s="4">
        <v>3</v>
      </c>
      <c r="M66" s="4">
        <v>4</v>
      </c>
      <c r="N66" s="9">
        <f t="shared" si="1"/>
        <v>6.3900000000000006</v>
      </c>
      <c r="O66" s="9">
        <f t="shared" si="5"/>
        <v>1</v>
      </c>
      <c r="P66" s="9">
        <f t="shared" si="2"/>
        <v>1.17</v>
      </c>
      <c r="X66" s="4">
        <v>0</v>
      </c>
      <c r="Y66" s="4">
        <v>9.25</v>
      </c>
      <c r="Z66" s="4">
        <v>18</v>
      </c>
      <c r="AA66" s="4">
        <v>47.44</v>
      </c>
      <c r="AB66" s="4">
        <v>0.35399799999999998</v>
      </c>
      <c r="AC66" s="4">
        <v>0</v>
      </c>
      <c r="AD66" s="4">
        <v>0</v>
      </c>
      <c r="AE66" s="5">
        <v>11382</v>
      </c>
      <c r="AF66" s="4">
        <v>0.5</v>
      </c>
      <c r="AG66" s="4">
        <v>0.45</v>
      </c>
      <c r="AH66" s="4">
        <v>3</v>
      </c>
      <c r="AI66" s="4">
        <v>8.0399999999999991</v>
      </c>
      <c r="AJ66" s="4">
        <v>2331.7800000000002</v>
      </c>
      <c r="AK66" s="6">
        <v>8800000</v>
      </c>
      <c r="AL66" s="4" t="s">
        <v>349</v>
      </c>
      <c r="AM66" s="4" t="s">
        <v>296</v>
      </c>
      <c r="AN66" s="4">
        <v>4</v>
      </c>
      <c r="AO66" s="6">
        <v>9.0999999999999997E-7</v>
      </c>
      <c r="AP66" s="4">
        <v>2.6400000000000002E-4</v>
      </c>
    </row>
    <row r="67" spans="1:42" x14ac:dyDescent="0.25">
      <c r="A67" s="4" t="s">
        <v>351</v>
      </c>
      <c r="B67" s="4" t="s">
        <v>239</v>
      </c>
      <c r="C67" s="4">
        <v>8</v>
      </c>
      <c r="D67" s="4">
        <v>4</v>
      </c>
      <c r="E67" s="4">
        <v>1988</v>
      </c>
      <c r="F67" s="4">
        <v>3.17</v>
      </c>
      <c r="G67" s="4">
        <v>4.33</v>
      </c>
      <c r="H67" s="4">
        <v>4</v>
      </c>
      <c r="I67" s="4">
        <v>4.33</v>
      </c>
      <c r="J67" s="4">
        <v>4.17</v>
      </c>
      <c r="K67" s="4">
        <v>4</v>
      </c>
      <c r="L67" s="4">
        <v>3.83</v>
      </c>
      <c r="M67" s="4">
        <v>4.5</v>
      </c>
      <c r="N67" s="9">
        <f t="shared" ref="N67:N119" si="10">AVERAGE(G67,H67,J67)</f>
        <v>4.166666666666667</v>
      </c>
      <c r="O67" s="9">
        <f t="shared" si="5"/>
        <v>2.2233333333333336</v>
      </c>
      <c r="P67" s="9">
        <f t="shared" si="2"/>
        <v>3.33</v>
      </c>
      <c r="X67" s="4">
        <v>0</v>
      </c>
      <c r="Y67" s="4">
        <v>9.75</v>
      </c>
      <c r="Z67" s="4">
        <v>18</v>
      </c>
      <c r="AA67" s="4">
        <v>16.760000000000002</v>
      </c>
      <c r="AB67" s="4">
        <v>0.35399799999999998</v>
      </c>
      <c r="AC67" s="4">
        <v>1</v>
      </c>
      <c r="AD67" s="4">
        <v>0</v>
      </c>
      <c r="AE67" s="5">
        <v>576359</v>
      </c>
      <c r="AF67" s="4">
        <v>0.5</v>
      </c>
      <c r="AG67" s="4">
        <v>0.45</v>
      </c>
      <c r="AH67" s="4">
        <v>3</v>
      </c>
      <c r="AI67" s="4">
        <v>6.8</v>
      </c>
      <c r="AJ67" s="4">
        <v>1934.39</v>
      </c>
      <c r="AK67" s="6">
        <v>9700000</v>
      </c>
      <c r="AL67" s="4" t="s">
        <v>352</v>
      </c>
      <c r="AM67" s="4" t="s">
        <v>285</v>
      </c>
      <c r="AN67" s="4">
        <v>1</v>
      </c>
      <c r="AO67" s="6">
        <v>6.9999999999999997E-7</v>
      </c>
      <c r="AP67" s="4">
        <v>1.9900000000000001E-4</v>
      </c>
    </row>
    <row r="68" spans="1:42" x14ac:dyDescent="0.25">
      <c r="A68" s="4" t="s">
        <v>353</v>
      </c>
      <c r="B68" s="4" t="s">
        <v>239</v>
      </c>
      <c r="C68" s="4">
        <v>8</v>
      </c>
      <c r="D68" s="4">
        <v>5</v>
      </c>
      <c r="E68" s="4">
        <v>1992</v>
      </c>
      <c r="F68" s="4">
        <v>6.5</v>
      </c>
      <c r="G68" s="4">
        <v>6.17</v>
      </c>
      <c r="H68" s="4">
        <v>6.17</v>
      </c>
      <c r="I68" s="4">
        <v>4.83</v>
      </c>
      <c r="J68" s="4">
        <v>6.17</v>
      </c>
      <c r="K68" s="4">
        <v>3.67</v>
      </c>
      <c r="L68" s="4">
        <v>3.5</v>
      </c>
      <c r="M68" s="4">
        <v>3.67</v>
      </c>
      <c r="N68" s="9">
        <f t="shared" si="10"/>
        <v>6.169999999999999</v>
      </c>
      <c r="O68" s="9">
        <f t="shared" ref="O68:O119" si="11">IF(B68=B67,SQRT((N68-N67)^2)," ")</f>
        <v>2.0033333333333321</v>
      </c>
      <c r="P68" s="9">
        <f t="shared" ref="P68:P119" si="12">IF(B68=B67,SQRT((F68-F67)^2)," ")</f>
        <v>3.33</v>
      </c>
      <c r="X68" s="4">
        <v>0</v>
      </c>
      <c r="Y68" s="4">
        <v>9</v>
      </c>
      <c r="Z68" s="4">
        <v>18</v>
      </c>
      <c r="AA68" s="4">
        <v>20.66</v>
      </c>
      <c r="AB68" s="4">
        <v>0.35399799999999998</v>
      </c>
      <c r="AC68" s="4">
        <v>0</v>
      </c>
      <c r="AD68" s="4">
        <v>0</v>
      </c>
      <c r="AE68" s="4">
        <v>-0.68959700000000002</v>
      </c>
      <c r="AF68" s="4">
        <v>0.5</v>
      </c>
      <c r="AG68" s="4">
        <v>0.35</v>
      </c>
      <c r="AH68" s="4">
        <v>3</v>
      </c>
      <c r="AI68" s="4">
        <v>6.22</v>
      </c>
      <c r="AJ68" s="4">
        <v>2295.21</v>
      </c>
      <c r="AK68" s="6">
        <v>11000000</v>
      </c>
      <c r="AL68" s="4" t="s">
        <v>354</v>
      </c>
      <c r="AM68" s="4" t="s">
        <v>296</v>
      </c>
      <c r="AN68" s="4">
        <v>4</v>
      </c>
      <c r="AO68" s="6">
        <v>5.7999999999999995E-7</v>
      </c>
      <c r="AP68" s="4">
        <v>2.14E-4</v>
      </c>
    </row>
    <row r="69" spans="1:42" x14ac:dyDescent="0.25">
      <c r="A69" s="4" t="s">
        <v>355</v>
      </c>
      <c r="B69" s="4" t="s">
        <v>239</v>
      </c>
      <c r="C69" s="4">
        <v>8</v>
      </c>
      <c r="D69" s="4">
        <v>6</v>
      </c>
      <c r="E69" s="4">
        <v>1997</v>
      </c>
      <c r="F69" s="4">
        <v>5</v>
      </c>
      <c r="G69" s="4">
        <v>5.17</v>
      </c>
      <c r="H69" s="4">
        <v>5.33</v>
      </c>
      <c r="I69" s="4">
        <v>4.83</v>
      </c>
      <c r="J69" s="4">
        <v>5.5</v>
      </c>
      <c r="K69" s="4">
        <v>3</v>
      </c>
      <c r="L69" s="4">
        <v>3.17</v>
      </c>
      <c r="M69" s="4">
        <v>3.33</v>
      </c>
      <c r="N69" s="9">
        <f t="shared" si="10"/>
        <v>5.333333333333333</v>
      </c>
      <c r="O69" s="9">
        <f t="shared" si="11"/>
        <v>0.836666666666666</v>
      </c>
      <c r="P69" s="9">
        <f t="shared" si="12"/>
        <v>1.5</v>
      </c>
      <c r="X69" s="4">
        <v>0</v>
      </c>
      <c r="Y69" s="4">
        <v>8</v>
      </c>
      <c r="Z69" s="4">
        <v>18</v>
      </c>
      <c r="AA69" s="4">
        <v>23.01</v>
      </c>
      <c r="AB69" s="4">
        <v>0.35399799999999998</v>
      </c>
      <c r="AC69" s="4">
        <v>0</v>
      </c>
      <c r="AD69" s="4">
        <v>0</v>
      </c>
      <c r="AE69" s="5">
        <v>238876</v>
      </c>
      <c r="AF69" s="4">
        <v>0.6</v>
      </c>
      <c r="AG69" s="4">
        <v>0.35</v>
      </c>
      <c r="AH69" s="4">
        <v>3</v>
      </c>
      <c r="AI69" s="4">
        <v>145.19999999999999</v>
      </c>
      <c r="AJ69" s="4">
        <v>3656.48</v>
      </c>
      <c r="AK69" s="6">
        <v>12000000</v>
      </c>
      <c r="AL69" s="4" t="s">
        <v>356</v>
      </c>
      <c r="AM69" s="4" t="s">
        <v>281</v>
      </c>
      <c r="AN69" s="4">
        <v>3</v>
      </c>
      <c r="AO69" s="4">
        <v>1.2E-5</v>
      </c>
      <c r="AP69" s="4">
        <v>3.0699999999999998E-4</v>
      </c>
    </row>
    <row r="70" spans="1:42" x14ac:dyDescent="0.25">
      <c r="A70" s="4" t="s">
        <v>357</v>
      </c>
      <c r="B70" s="4" t="s">
        <v>239</v>
      </c>
      <c r="C70" s="4">
        <v>8</v>
      </c>
      <c r="D70" s="4">
        <v>7</v>
      </c>
      <c r="E70" s="4">
        <v>1998</v>
      </c>
      <c r="F70" s="4">
        <v>6.17</v>
      </c>
      <c r="G70" s="4">
        <v>6.17</v>
      </c>
      <c r="H70" s="4">
        <v>6.17</v>
      </c>
      <c r="I70" s="4">
        <v>4</v>
      </c>
      <c r="J70" s="4">
        <v>6.17</v>
      </c>
      <c r="K70" s="4">
        <v>2.83</v>
      </c>
      <c r="L70" s="4">
        <v>3.33</v>
      </c>
      <c r="M70" s="4">
        <v>3</v>
      </c>
      <c r="N70" s="9">
        <f t="shared" si="10"/>
        <v>6.169999999999999</v>
      </c>
      <c r="O70" s="9">
        <f t="shared" si="11"/>
        <v>0.836666666666666</v>
      </c>
      <c r="P70" s="9">
        <f t="shared" si="12"/>
        <v>1.17</v>
      </c>
      <c r="X70" s="4">
        <v>1</v>
      </c>
      <c r="Y70" s="4">
        <v>9</v>
      </c>
      <c r="Z70" s="4">
        <v>22</v>
      </c>
      <c r="AA70" s="4">
        <v>23.01</v>
      </c>
      <c r="AB70" s="4">
        <v>0.35399799999999998</v>
      </c>
      <c r="AC70" s="4">
        <v>0</v>
      </c>
      <c r="AD70" s="4">
        <v>0</v>
      </c>
      <c r="AE70" s="4">
        <v>0.58575100000000002</v>
      </c>
      <c r="AF70" s="4">
        <v>0.1</v>
      </c>
      <c r="AG70" s="4">
        <v>0.42</v>
      </c>
      <c r="AH70" s="4">
        <v>3</v>
      </c>
      <c r="AI70" s="4">
        <v>138.84</v>
      </c>
      <c r="AJ70" s="4">
        <v>3669.55</v>
      </c>
      <c r="AK70" s="6">
        <v>12000000</v>
      </c>
      <c r="AL70" s="4" t="s">
        <v>356</v>
      </c>
      <c r="AM70" s="4" t="s">
        <v>281</v>
      </c>
      <c r="AN70" s="4">
        <v>3</v>
      </c>
      <c r="AO70" s="4">
        <v>1.1E-5</v>
      </c>
      <c r="AP70" s="4">
        <v>3.0200000000000002E-4</v>
      </c>
    </row>
    <row r="71" spans="1:42" x14ac:dyDescent="0.25">
      <c r="A71" s="4" t="s">
        <v>358</v>
      </c>
      <c r="B71" s="4" t="s">
        <v>239</v>
      </c>
      <c r="C71" s="4">
        <v>8</v>
      </c>
      <c r="D71" s="4">
        <v>8</v>
      </c>
      <c r="E71" s="4">
        <v>2000</v>
      </c>
      <c r="F71" s="4">
        <v>6.33</v>
      </c>
      <c r="G71" s="4">
        <v>5.83</v>
      </c>
      <c r="H71" s="4">
        <v>6.17</v>
      </c>
      <c r="I71" s="4">
        <v>4.17</v>
      </c>
      <c r="J71" s="4">
        <v>5.67</v>
      </c>
      <c r="K71" s="4">
        <v>2.17</v>
      </c>
      <c r="L71" s="4">
        <v>3.17</v>
      </c>
      <c r="M71" s="4">
        <v>3.17</v>
      </c>
      <c r="N71" s="9">
        <f t="shared" si="10"/>
        <v>5.8900000000000006</v>
      </c>
      <c r="O71" s="9">
        <f t="shared" si="11"/>
        <v>0.27999999999999847</v>
      </c>
      <c r="P71" s="9">
        <f t="shared" si="12"/>
        <v>0.16000000000000014</v>
      </c>
      <c r="Q71" s="10">
        <v>0</v>
      </c>
      <c r="R71" s="10">
        <v>1</v>
      </c>
      <c r="S71" s="4">
        <v>2.65</v>
      </c>
      <c r="T71" s="4">
        <v>2.56</v>
      </c>
      <c r="U71" s="8">
        <f>SUM(S71:T71)</f>
        <v>5.21</v>
      </c>
      <c r="V71" s="4">
        <v>0.7</v>
      </c>
      <c r="X71" s="4">
        <v>1</v>
      </c>
      <c r="Y71" s="4">
        <v>8</v>
      </c>
      <c r="Z71" s="4">
        <v>22</v>
      </c>
      <c r="AA71" s="4">
        <v>24.81</v>
      </c>
      <c r="AB71" s="4">
        <v>0.35399799999999998</v>
      </c>
      <c r="AC71" s="4">
        <v>0</v>
      </c>
      <c r="AD71" s="4">
        <v>1</v>
      </c>
      <c r="AE71" s="5">
        <v>14239</v>
      </c>
      <c r="AF71" s="4">
        <v>0.5</v>
      </c>
      <c r="AG71" s="4">
        <v>0.5</v>
      </c>
      <c r="AH71" s="4">
        <v>3</v>
      </c>
      <c r="AI71" s="4">
        <v>197.28</v>
      </c>
      <c r="AJ71" s="4">
        <v>3561.72</v>
      </c>
      <c r="AK71" s="6">
        <v>13000000</v>
      </c>
      <c r="AL71" s="4" t="s">
        <v>359</v>
      </c>
      <c r="AM71" s="4" t="s">
        <v>281</v>
      </c>
      <c r="AN71" s="4">
        <v>3</v>
      </c>
      <c r="AO71" s="4">
        <v>1.5999999999999999E-5</v>
      </c>
      <c r="AP71" s="4">
        <v>2.8200000000000002E-4</v>
      </c>
    </row>
    <row r="72" spans="1:42" x14ac:dyDescent="0.25">
      <c r="A72" s="4" t="s">
        <v>360</v>
      </c>
      <c r="B72" s="4" t="s">
        <v>239</v>
      </c>
      <c r="C72" s="4">
        <v>8</v>
      </c>
      <c r="D72" s="4">
        <v>9</v>
      </c>
      <c r="E72" s="4">
        <v>2003</v>
      </c>
      <c r="F72" s="4">
        <v>5.33</v>
      </c>
      <c r="G72" s="4">
        <v>5.67</v>
      </c>
      <c r="H72" s="4">
        <v>6.17</v>
      </c>
      <c r="I72" s="4">
        <v>3.83</v>
      </c>
      <c r="J72" s="4">
        <v>6.33</v>
      </c>
      <c r="K72" s="4">
        <v>2.17</v>
      </c>
      <c r="L72" s="4">
        <v>3</v>
      </c>
      <c r="M72" s="4">
        <v>3.33</v>
      </c>
      <c r="N72" s="9">
        <f t="shared" si="10"/>
        <v>6.0566666666666675</v>
      </c>
      <c r="O72" s="9">
        <f t="shared" si="11"/>
        <v>0.16666666666666696</v>
      </c>
      <c r="P72" s="9">
        <f t="shared" si="12"/>
        <v>1</v>
      </c>
      <c r="Q72" s="10">
        <v>1</v>
      </c>
      <c r="R72" s="10">
        <v>1</v>
      </c>
      <c r="S72" s="4">
        <v>2.65</v>
      </c>
      <c r="T72" s="4">
        <v>2.66</v>
      </c>
      <c r="U72" s="8">
        <f>SUM(S72:T72)</f>
        <v>5.3100000000000005</v>
      </c>
      <c r="V72" s="4">
        <v>0.71</v>
      </c>
      <c r="X72" s="4">
        <v>0</v>
      </c>
      <c r="Y72" s="4">
        <v>8</v>
      </c>
      <c r="Z72" s="4">
        <v>22</v>
      </c>
      <c r="AA72" s="4">
        <v>38.21</v>
      </c>
      <c r="AB72" s="4">
        <v>0.35399799999999998</v>
      </c>
      <c r="AC72" s="4">
        <v>0</v>
      </c>
      <c r="AD72" s="4">
        <v>0</v>
      </c>
      <c r="AE72" s="5">
        <v>236321</v>
      </c>
      <c r="AF72" s="4">
        <v>0.2</v>
      </c>
      <c r="AG72" s="4">
        <v>0.5</v>
      </c>
      <c r="AH72" s="4">
        <v>3</v>
      </c>
      <c r="AI72" s="4">
        <v>547.51</v>
      </c>
      <c r="AJ72" s="4">
        <v>4257.79</v>
      </c>
      <c r="AK72" s="6">
        <v>13000000</v>
      </c>
      <c r="AL72" s="4" t="s">
        <v>361</v>
      </c>
      <c r="AM72" s="4" t="s">
        <v>281</v>
      </c>
      <c r="AN72" s="4">
        <v>3</v>
      </c>
      <c r="AO72" s="4">
        <v>4.1E-5</v>
      </c>
      <c r="AP72" s="4">
        <v>3.2000000000000003E-4</v>
      </c>
    </row>
    <row r="73" spans="1:42" x14ac:dyDescent="0.25">
      <c r="A73" s="4" t="s">
        <v>362</v>
      </c>
      <c r="B73" s="4" t="s">
        <v>239</v>
      </c>
      <c r="C73" s="4">
        <v>8</v>
      </c>
      <c r="D73" s="4">
        <v>10</v>
      </c>
      <c r="E73" s="4">
        <v>2005</v>
      </c>
      <c r="F73" s="4">
        <v>4.5</v>
      </c>
      <c r="G73" s="4">
        <v>4.5</v>
      </c>
      <c r="H73" s="4">
        <v>5.33</v>
      </c>
      <c r="I73" s="4">
        <v>4</v>
      </c>
      <c r="J73" s="4">
        <v>5.33</v>
      </c>
      <c r="K73" s="4">
        <v>2.67</v>
      </c>
      <c r="L73" s="4">
        <v>3.17</v>
      </c>
      <c r="M73" s="4">
        <v>3.83</v>
      </c>
      <c r="N73" s="9">
        <f t="shared" si="10"/>
        <v>5.0533333333333337</v>
      </c>
      <c r="O73" s="9">
        <f t="shared" si="11"/>
        <v>1.0033333333333339</v>
      </c>
      <c r="P73" s="9">
        <f t="shared" si="12"/>
        <v>0.83000000000000007</v>
      </c>
      <c r="Q73" s="10">
        <v>1</v>
      </c>
      <c r="R73" s="10">
        <v>1</v>
      </c>
      <c r="S73" s="4">
        <v>2.65</v>
      </c>
      <c r="T73" s="4">
        <v>2.7</v>
      </c>
      <c r="U73" s="8">
        <f>SUM(S73:T73)</f>
        <v>5.35</v>
      </c>
      <c r="V73" s="4">
        <v>0.71</v>
      </c>
      <c r="X73" s="4">
        <v>0</v>
      </c>
      <c r="Y73" s="4">
        <v>8</v>
      </c>
      <c r="Z73" s="4">
        <v>22</v>
      </c>
      <c r="AA73" s="4">
        <v>38.21</v>
      </c>
      <c r="AB73" s="4">
        <v>0.35399799999999998</v>
      </c>
      <c r="AC73" s="4">
        <v>0</v>
      </c>
      <c r="AD73" s="4">
        <v>0</v>
      </c>
      <c r="AE73" s="5">
        <v>484148</v>
      </c>
      <c r="AF73" s="4">
        <v>0.64285700000000001</v>
      </c>
      <c r="AG73" s="4">
        <v>0.5</v>
      </c>
      <c r="AH73" s="4">
        <v>3</v>
      </c>
      <c r="AI73" s="4">
        <v>603.15</v>
      </c>
      <c r="AJ73" s="4">
        <v>8392.15</v>
      </c>
      <c r="AK73" s="6">
        <v>14000000</v>
      </c>
      <c r="AL73" s="4" t="s">
        <v>363</v>
      </c>
      <c r="AM73" s="4" t="s">
        <v>301</v>
      </c>
      <c r="AN73" s="4">
        <v>0</v>
      </c>
      <c r="AO73" s="4">
        <v>4.3999999999999999E-5</v>
      </c>
      <c r="AP73" s="4">
        <v>6.11E-4</v>
      </c>
    </row>
    <row r="74" spans="1:42" x14ac:dyDescent="0.25">
      <c r="A74" s="4" t="s">
        <v>364</v>
      </c>
      <c r="B74" s="4" t="s">
        <v>239</v>
      </c>
      <c r="C74" s="4">
        <v>8</v>
      </c>
      <c r="D74" s="4">
        <v>11</v>
      </c>
      <c r="E74" s="4">
        <v>2007</v>
      </c>
      <c r="F74" s="4">
        <v>1.83</v>
      </c>
      <c r="G74" s="4">
        <v>1.83</v>
      </c>
      <c r="H74" s="4">
        <v>1.67</v>
      </c>
      <c r="I74" s="4">
        <v>1.83</v>
      </c>
      <c r="J74" s="4">
        <v>1.67</v>
      </c>
      <c r="K74" s="4">
        <v>4.67</v>
      </c>
      <c r="L74" s="4">
        <v>3.67</v>
      </c>
      <c r="M74" s="4">
        <v>3.5</v>
      </c>
      <c r="N74" s="9">
        <f t="shared" si="10"/>
        <v>1.7233333333333334</v>
      </c>
      <c r="O74" s="9">
        <f t="shared" si="11"/>
        <v>3.33</v>
      </c>
      <c r="P74" s="9">
        <f t="shared" si="12"/>
        <v>2.67</v>
      </c>
      <c r="Q74" s="10">
        <v>1</v>
      </c>
      <c r="R74" s="10">
        <v>1</v>
      </c>
      <c r="S74" s="4">
        <v>3.35</v>
      </c>
      <c r="T74" s="4">
        <v>3.32</v>
      </c>
      <c r="U74" s="8">
        <f>SUM(S74:T74)</f>
        <v>6.67</v>
      </c>
      <c r="V74" s="4">
        <v>0.63</v>
      </c>
      <c r="X74" s="4">
        <v>1</v>
      </c>
      <c r="Y74" s="4">
        <v>8</v>
      </c>
      <c r="Z74" s="4">
        <v>22</v>
      </c>
      <c r="AA74" s="4">
        <v>33.99</v>
      </c>
      <c r="AB74" s="4">
        <v>0.35399799999999998</v>
      </c>
      <c r="AC74" s="4">
        <v>0</v>
      </c>
      <c r="AD74" s="4">
        <v>0</v>
      </c>
      <c r="AE74" s="4">
        <v>0.97632699999999994</v>
      </c>
      <c r="AF74" s="4">
        <v>0.214286</v>
      </c>
      <c r="AG74" s="4">
        <v>0.36</v>
      </c>
      <c r="AH74" s="4">
        <v>3</v>
      </c>
      <c r="AI74" s="4">
        <v>1216.5</v>
      </c>
      <c r="AJ74" s="4">
        <v>9230.23</v>
      </c>
      <c r="AK74" s="6">
        <v>14000000</v>
      </c>
      <c r="AL74" s="4" t="s">
        <v>363</v>
      </c>
      <c r="AM74" s="4" t="s">
        <v>301</v>
      </c>
      <c r="AN74" s="4">
        <v>0</v>
      </c>
      <c r="AO74" s="4">
        <v>8.6000000000000003E-5</v>
      </c>
      <c r="AP74" s="4">
        <v>6.4999999999999997E-4</v>
      </c>
    </row>
    <row r="75" spans="1:42" x14ac:dyDescent="0.25">
      <c r="A75" s="4" t="s">
        <v>365</v>
      </c>
      <c r="B75" s="4" t="s">
        <v>239</v>
      </c>
      <c r="C75" s="4">
        <v>8</v>
      </c>
      <c r="D75" s="4">
        <v>12</v>
      </c>
      <c r="E75" s="4">
        <v>2011</v>
      </c>
      <c r="F75" s="4">
        <v>2.83</v>
      </c>
      <c r="G75" s="4">
        <v>2.17</v>
      </c>
      <c r="H75" s="4">
        <v>2</v>
      </c>
      <c r="I75" s="4">
        <v>2</v>
      </c>
      <c r="J75" s="4">
        <v>1.83</v>
      </c>
      <c r="K75" s="4">
        <v>4.17</v>
      </c>
      <c r="L75" s="4">
        <v>3.5</v>
      </c>
      <c r="M75" s="4">
        <v>3.33</v>
      </c>
      <c r="N75" s="9">
        <f t="shared" si="10"/>
        <v>2</v>
      </c>
      <c r="O75" s="9">
        <f t="shared" si="11"/>
        <v>0.27666666666666662</v>
      </c>
      <c r="P75" s="9">
        <f t="shared" si="12"/>
        <v>1</v>
      </c>
      <c r="Q75" s="10">
        <v>0</v>
      </c>
      <c r="R75" s="10">
        <v>0</v>
      </c>
      <c r="S75" s="4">
        <v>3.44</v>
      </c>
      <c r="T75" s="4">
        <v>3.44</v>
      </c>
      <c r="U75" s="8">
        <f>SUM(S75:T75)</f>
        <v>6.88</v>
      </c>
      <c r="V75" s="4">
        <v>0.59</v>
      </c>
      <c r="X75" s="4">
        <v>0</v>
      </c>
      <c r="Y75" s="4">
        <v>8</v>
      </c>
      <c r="Z75" s="4">
        <v>22</v>
      </c>
      <c r="AA75" s="4">
        <v>53.42</v>
      </c>
      <c r="AB75" s="4">
        <v>0.35399799999999998</v>
      </c>
      <c r="AC75" s="4">
        <v>0</v>
      </c>
      <c r="AD75" s="4">
        <v>0</v>
      </c>
      <c r="AE75" s="4">
        <v>-0.69622899999999999</v>
      </c>
      <c r="AF75" s="4">
        <v>0.83333299999999999</v>
      </c>
      <c r="AG75" s="4">
        <v>0.32</v>
      </c>
      <c r="AH75" s="4">
        <v>3</v>
      </c>
      <c r="AI75" s="4">
        <v>1907.39</v>
      </c>
      <c r="AJ75" s="4">
        <v>9190</v>
      </c>
      <c r="AK75" s="6">
        <v>15000000</v>
      </c>
      <c r="AL75" s="4" t="s">
        <v>363</v>
      </c>
      <c r="AM75" s="4" t="s">
        <v>301</v>
      </c>
      <c r="AN75" s="4">
        <v>0</v>
      </c>
      <c r="AO75" s="4">
        <v>1.2799999999999999E-4</v>
      </c>
      <c r="AP75" s="4">
        <v>6.1499999999999999E-4</v>
      </c>
    </row>
    <row r="76" spans="1:42" x14ac:dyDescent="0.25">
      <c r="A76" s="4" t="s">
        <v>366</v>
      </c>
      <c r="B76" s="4" t="s">
        <v>239</v>
      </c>
      <c r="C76" s="4">
        <v>8</v>
      </c>
      <c r="D76" s="4">
        <v>13</v>
      </c>
      <c r="E76" s="4">
        <v>2013</v>
      </c>
      <c r="F76" s="4">
        <f>(3.5+2.5)/2</f>
        <v>3</v>
      </c>
      <c r="G76" s="4">
        <f>(2.17+3.25)/2</f>
        <v>2.71</v>
      </c>
      <c r="H76" s="4">
        <f>(2.67+2.75)/2</f>
        <v>2.71</v>
      </c>
      <c r="I76" s="4">
        <f>(2.33+2.75)/2</f>
        <v>2.54</v>
      </c>
      <c r="J76" s="8">
        <f>(2+2.75)/2</f>
        <v>2.375</v>
      </c>
      <c r="K76" s="8">
        <f>(4+3.25)/2</f>
        <v>3.625</v>
      </c>
      <c r="L76" s="4">
        <f>(3.5+3.25)/2</f>
        <v>3.375</v>
      </c>
      <c r="M76" s="4">
        <v>3.33</v>
      </c>
      <c r="N76" s="9">
        <f t="shared" si="10"/>
        <v>2.5983333333333332</v>
      </c>
      <c r="O76" s="9">
        <f t="shared" si="11"/>
        <v>0.59833333333333316</v>
      </c>
      <c r="P76" s="9">
        <f t="shared" si="12"/>
        <v>0.16999999999999993</v>
      </c>
      <c r="Q76" s="4">
        <v>0</v>
      </c>
      <c r="R76" s="4">
        <v>0</v>
      </c>
      <c r="S76" s="4">
        <v>3.44</v>
      </c>
      <c r="T76" s="4">
        <v>3.45</v>
      </c>
      <c r="U76" s="8">
        <f t="shared" ref="U76:U77" si="13">SUM(S76:T76)</f>
        <v>6.8900000000000006</v>
      </c>
      <c r="V76" s="4">
        <v>0.56000000000000005</v>
      </c>
      <c r="X76" s="4">
        <v>0</v>
      </c>
      <c r="Y76" s="4">
        <v>8</v>
      </c>
      <c r="Z76" s="4">
        <v>22</v>
      </c>
      <c r="AA76" s="4">
        <v>31.22</v>
      </c>
      <c r="AB76" s="4">
        <v>0.35399799999999998</v>
      </c>
      <c r="AC76" s="4">
        <v>0</v>
      </c>
      <c r="AD76" s="4">
        <v>0</v>
      </c>
      <c r="AE76" s="5">
        <v>484148</v>
      </c>
      <c r="AF76" s="4">
        <v>0.83333299999999999</v>
      </c>
      <c r="AG76" s="4">
        <v>0.44</v>
      </c>
      <c r="AH76" s="4">
        <v>3</v>
      </c>
      <c r="AI76" s="4">
        <v>2460.52</v>
      </c>
      <c r="AJ76" s="4">
        <v>12853.9</v>
      </c>
      <c r="AK76" s="6">
        <v>16000000</v>
      </c>
      <c r="AL76" s="4" t="s">
        <v>363</v>
      </c>
      <c r="AM76" s="4" t="s">
        <v>301</v>
      </c>
      <c r="AN76" s="4">
        <v>0</v>
      </c>
      <c r="AO76" s="4">
        <v>1.5699999999999999E-4</v>
      </c>
      <c r="AP76" s="4">
        <v>8.2100000000000001E-4</v>
      </c>
    </row>
    <row r="77" spans="1:42" x14ac:dyDescent="0.25">
      <c r="A77" s="4" t="s">
        <v>443</v>
      </c>
      <c r="B77" s="4" t="s">
        <v>239</v>
      </c>
      <c r="C77" s="4">
        <v>8</v>
      </c>
      <c r="D77" s="4">
        <v>14</v>
      </c>
      <c r="E77" s="4">
        <v>2017</v>
      </c>
      <c r="F77" s="4">
        <v>6</v>
      </c>
      <c r="G77" s="4">
        <v>5.33</v>
      </c>
      <c r="H77" s="4">
        <v>6.5</v>
      </c>
      <c r="I77" s="4">
        <v>3.75</v>
      </c>
      <c r="J77" s="4">
        <v>6.5</v>
      </c>
      <c r="K77" s="4">
        <v>2.25</v>
      </c>
      <c r="L77" s="4">
        <v>2.5</v>
      </c>
      <c r="M77" s="8">
        <f>(2.75+4)/2</f>
        <v>3.375</v>
      </c>
      <c r="N77" s="9">
        <f t="shared" si="10"/>
        <v>6.1099999999999994</v>
      </c>
      <c r="O77" s="9">
        <f t="shared" si="11"/>
        <v>3.5116666666666663</v>
      </c>
      <c r="P77" s="9">
        <f t="shared" si="12"/>
        <v>3</v>
      </c>
      <c r="Q77" s="4">
        <v>0</v>
      </c>
      <c r="R77" s="4">
        <v>1</v>
      </c>
      <c r="S77" s="8">
        <v>3.32</v>
      </c>
      <c r="T77" s="8">
        <v>3.44</v>
      </c>
      <c r="U77" s="8">
        <f t="shared" si="13"/>
        <v>6.76</v>
      </c>
      <c r="V77" s="8">
        <v>0.65</v>
      </c>
      <c r="W77" s="8"/>
      <c r="AE77" s="5"/>
      <c r="AK77" s="6"/>
    </row>
    <row r="78" spans="1:42" x14ac:dyDescent="0.25">
      <c r="A78" s="4" t="s">
        <v>369</v>
      </c>
      <c r="B78" s="4" t="s">
        <v>370</v>
      </c>
      <c r="C78" s="4">
        <v>12</v>
      </c>
      <c r="D78" s="4">
        <v>1</v>
      </c>
      <c r="E78" s="4">
        <v>1982</v>
      </c>
      <c r="F78" s="4">
        <v>4.63</v>
      </c>
      <c r="G78" s="4">
        <v>4.63</v>
      </c>
      <c r="H78" s="4">
        <v>4.13</v>
      </c>
      <c r="I78" s="4">
        <v>4.5</v>
      </c>
      <c r="J78" s="4">
        <v>4.13</v>
      </c>
      <c r="K78" s="4">
        <v>4.13</v>
      </c>
      <c r="L78" s="4">
        <v>4.38</v>
      </c>
      <c r="M78" s="4">
        <v>4.38</v>
      </c>
      <c r="N78" s="9">
        <f t="shared" si="10"/>
        <v>4.2966666666666669</v>
      </c>
      <c r="O78" s="9"/>
      <c r="P78" s="9"/>
      <c r="X78" s="4">
        <v>0</v>
      </c>
      <c r="Y78" s="4">
        <v>6.5</v>
      </c>
      <c r="Z78" s="4">
        <v>16</v>
      </c>
      <c r="AA78" s="4">
        <v>13.16</v>
      </c>
      <c r="AB78" s="4">
        <v>0.75388599999999995</v>
      </c>
      <c r="AC78" s="4">
        <v>0</v>
      </c>
      <c r="AD78" s="4">
        <v>0</v>
      </c>
      <c r="AE78" s="5">
        <v>-28629</v>
      </c>
      <c r="AF78" s="4">
        <v>0</v>
      </c>
      <c r="AG78" s="4">
        <v>0.62</v>
      </c>
      <c r="AH78" s="4">
        <v>2.75</v>
      </c>
      <c r="AI78" s="4">
        <v>118.4</v>
      </c>
      <c r="AJ78" s="4">
        <v>24776.7</v>
      </c>
      <c r="AK78" s="6">
        <v>73000000</v>
      </c>
      <c r="AL78" s="4" t="s">
        <v>371</v>
      </c>
      <c r="AM78" s="4" t="s">
        <v>278</v>
      </c>
      <c r="AN78" s="4">
        <v>2</v>
      </c>
      <c r="AO78" s="6">
        <v>1.5999999999999999E-6</v>
      </c>
      <c r="AP78" s="4">
        <v>3.4200000000000002E-4</v>
      </c>
    </row>
    <row r="79" spans="1:42" x14ac:dyDescent="0.25">
      <c r="A79" s="4" t="s">
        <v>372</v>
      </c>
      <c r="B79" s="4" t="s">
        <v>370</v>
      </c>
      <c r="C79" s="4">
        <v>12</v>
      </c>
      <c r="D79" s="4">
        <v>2</v>
      </c>
      <c r="E79" s="4">
        <v>1988</v>
      </c>
      <c r="F79" s="4">
        <v>5.75</v>
      </c>
      <c r="G79" s="4">
        <v>6.5</v>
      </c>
      <c r="H79" s="4">
        <v>5.88</v>
      </c>
      <c r="I79" s="4">
        <v>6.13</v>
      </c>
      <c r="J79" s="4">
        <v>5.75</v>
      </c>
      <c r="K79" s="4">
        <v>3.13</v>
      </c>
      <c r="L79" s="4">
        <v>5</v>
      </c>
      <c r="M79" s="4">
        <v>5</v>
      </c>
      <c r="N79" s="9">
        <f t="shared" si="10"/>
        <v>6.043333333333333</v>
      </c>
      <c r="O79" s="9">
        <f t="shared" si="11"/>
        <v>1.7466666666666661</v>
      </c>
      <c r="P79" s="9">
        <f t="shared" si="12"/>
        <v>1.1200000000000001</v>
      </c>
      <c r="X79" s="4">
        <v>0</v>
      </c>
      <c r="Y79" s="4">
        <v>6.5</v>
      </c>
      <c r="Z79" s="4">
        <v>16</v>
      </c>
      <c r="AA79" s="4">
        <v>22.47</v>
      </c>
      <c r="AB79" s="4">
        <v>0.75388599999999995</v>
      </c>
      <c r="AC79" s="4">
        <v>1</v>
      </c>
      <c r="AD79" s="4">
        <v>0</v>
      </c>
      <c r="AE79" s="4">
        <v>-0.71318899999999996</v>
      </c>
      <c r="AF79" s="4">
        <v>0.3</v>
      </c>
      <c r="AG79" s="4">
        <v>0.62</v>
      </c>
      <c r="AH79" s="4">
        <v>2.75</v>
      </c>
      <c r="AI79" s="4">
        <v>283.36</v>
      </c>
      <c r="AJ79" s="4">
        <v>37880.9</v>
      </c>
      <c r="AK79" s="6">
        <v>82000000</v>
      </c>
      <c r="AL79" s="4" t="s">
        <v>371</v>
      </c>
      <c r="AM79" s="4" t="s">
        <v>278</v>
      </c>
      <c r="AN79" s="4">
        <v>2</v>
      </c>
      <c r="AO79" s="6">
        <v>3.4000000000000001E-6</v>
      </c>
      <c r="AP79" s="4">
        <v>4.6099999999999998E-4</v>
      </c>
    </row>
    <row r="80" spans="1:42" x14ac:dyDescent="0.25">
      <c r="A80" s="4" t="s">
        <v>373</v>
      </c>
      <c r="B80" s="4" t="s">
        <v>370</v>
      </c>
      <c r="C80" s="4">
        <v>12</v>
      </c>
      <c r="D80" s="4">
        <v>3</v>
      </c>
      <c r="E80" s="4">
        <v>1994</v>
      </c>
      <c r="F80" s="4">
        <v>4.63</v>
      </c>
      <c r="G80" s="4">
        <v>6.25</v>
      </c>
      <c r="H80" s="4">
        <v>5.38</v>
      </c>
      <c r="I80" s="4">
        <v>5.5</v>
      </c>
      <c r="J80" s="4">
        <v>5.25</v>
      </c>
      <c r="K80" s="4">
        <v>3.5</v>
      </c>
      <c r="L80" s="4">
        <v>4.13</v>
      </c>
      <c r="M80" s="4">
        <v>4.75</v>
      </c>
      <c r="N80" s="9">
        <f t="shared" si="10"/>
        <v>5.626666666666666</v>
      </c>
      <c r="O80" s="9">
        <f t="shared" si="11"/>
        <v>0.41666666666666696</v>
      </c>
      <c r="P80" s="9">
        <f t="shared" si="12"/>
        <v>1.1200000000000001</v>
      </c>
      <c r="X80" s="4">
        <v>0</v>
      </c>
      <c r="Y80" s="4">
        <v>6.66</v>
      </c>
      <c r="Z80" s="4">
        <v>16</v>
      </c>
      <c r="AA80" s="4">
        <v>18.329999999999998</v>
      </c>
      <c r="AB80" s="4">
        <v>0.75388599999999995</v>
      </c>
      <c r="AC80" s="4">
        <v>0</v>
      </c>
      <c r="AD80" s="4">
        <v>0</v>
      </c>
      <c r="AE80" s="5">
        <v>260098</v>
      </c>
      <c r="AF80" s="4">
        <v>0.3</v>
      </c>
      <c r="AG80" s="4">
        <v>0.5</v>
      </c>
      <c r="AH80" s="4">
        <v>2.75</v>
      </c>
      <c r="AI80" s="4">
        <v>565.29</v>
      </c>
      <c r="AJ80" s="4">
        <v>113065</v>
      </c>
      <c r="AK80" s="6">
        <v>93000000</v>
      </c>
      <c r="AL80" s="4" t="s">
        <v>371</v>
      </c>
      <c r="AM80" s="4" t="s">
        <v>278</v>
      </c>
      <c r="AN80" s="4">
        <v>2</v>
      </c>
      <c r="AO80" s="6">
        <v>6.1E-6</v>
      </c>
      <c r="AP80" s="4">
        <v>1.2199999999999999E-3</v>
      </c>
    </row>
    <row r="81" spans="1:42" x14ac:dyDescent="0.25">
      <c r="A81" s="4" t="s">
        <v>374</v>
      </c>
      <c r="B81" s="4" t="s">
        <v>370</v>
      </c>
      <c r="C81" s="4">
        <v>12</v>
      </c>
      <c r="D81" s="4">
        <v>4</v>
      </c>
      <c r="E81" s="4">
        <v>2000</v>
      </c>
      <c r="F81" s="4">
        <v>5.88</v>
      </c>
      <c r="G81" s="4">
        <v>6.5</v>
      </c>
      <c r="H81" s="4">
        <v>5.88</v>
      </c>
      <c r="I81" s="4">
        <v>3.13</v>
      </c>
      <c r="J81" s="4">
        <v>6</v>
      </c>
      <c r="K81" s="4">
        <v>2.75</v>
      </c>
      <c r="L81" s="4">
        <v>4.63</v>
      </c>
      <c r="M81" s="4">
        <v>4.38</v>
      </c>
      <c r="N81" s="9">
        <f t="shared" si="10"/>
        <v>6.126666666666666</v>
      </c>
      <c r="O81" s="9">
        <f t="shared" si="11"/>
        <v>0.5</v>
      </c>
      <c r="P81" s="9">
        <f t="shared" si="12"/>
        <v>1.25</v>
      </c>
      <c r="Q81" s="10">
        <v>1</v>
      </c>
      <c r="R81" s="10">
        <v>1</v>
      </c>
      <c r="S81" s="4">
        <v>1.4</v>
      </c>
      <c r="T81" s="4">
        <v>3.01</v>
      </c>
      <c r="U81" s="8">
        <f>SUM(S81:T81)</f>
        <v>4.41</v>
      </c>
      <c r="V81" s="4">
        <v>0.69</v>
      </c>
      <c r="X81" s="4">
        <v>0</v>
      </c>
      <c r="Y81" s="4">
        <v>9.66</v>
      </c>
      <c r="Z81" s="4">
        <v>16</v>
      </c>
      <c r="AA81" s="4">
        <v>16.440000000000001</v>
      </c>
      <c r="AB81" s="4">
        <v>0.75388599999999995</v>
      </c>
      <c r="AC81" s="4">
        <v>0</v>
      </c>
      <c r="AD81" s="4">
        <v>1</v>
      </c>
      <c r="AE81" s="5">
        <v>509869</v>
      </c>
      <c r="AF81" s="4">
        <v>0</v>
      </c>
      <c r="AG81" s="4">
        <v>0.36</v>
      </c>
      <c r="AH81" s="4">
        <v>2.75</v>
      </c>
      <c r="AI81" s="4">
        <v>4355.25</v>
      </c>
      <c r="AJ81" s="4">
        <v>275368</v>
      </c>
      <c r="AK81" s="6">
        <v>100000000</v>
      </c>
      <c r="AL81" s="4" t="s">
        <v>367</v>
      </c>
      <c r="AM81" s="4" t="s">
        <v>296</v>
      </c>
      <c r="AN81" s="4">
        <v>4</v>
      </c>
      <c r="AO81" s="4">
        <v>4.1999999999999998E-5</v>
      </c>
      <c r="AP81" s="4">
        <v>2.6779999999999998E-3</v>
      </c>
    </row>
    <row r="82" spans="1:42" x14ac:dyDescent="0.25">
      <c r="A82" s="4" t="s">
        <v>375</v>
      </c>
      <c r="B82" s="4" t="s">
        <v>370</v>
      </c>
      <c r="C82" s="4">
        <v>12</v>
      </c>
      <c r="D82" s="4">
        <v>5</v>
      </c>
      <c r="E82" s="4">
        <v>2006</v>
      </c>
      <c r="F82" s="4">
        <v>6.13</v>
      </c>
      <c r="G82" s="4">
        <v>6.38</v>
      </c>
      <c r="H82" s="4">
        <v>5.38</v>
      </c>
      <c r="I82" s="4">
        <v>4.63</v>
      </c>
      <c r="J82" s="4">
        <v>6.13</v>
      </c>
      <c r="K82" s="4">
        <v>3</v>
      </c>
      <c r="L82" s="4">
        <v>4.63</v>
      </c>
      <c r="M82" s="4">
        <v>4.13</v>
      </c>
      <c r="N82" s="9">
        <f t="shared" si="10"/>
        <v>5.9633333333333338</v>
      </c>
      <c r="O82" s="9">
        <f t="shared" si="11"/>
        <v>0.16333333333333222</v>
      </c>
      <c r="P82" s="9">
        <f t="shared" si="12"/>
        <v>0.25</v>
      </c>
      <c r="Q82" s="10">
        <v>0</v>
      </c>
      <c r="R82" s="10">
        <v>1</v>
      </c>
      <c r="S82" s="4">
        <v>1.69</v>
      </c>
      <c r="T82" s="4">
        <v>3.15</v>
      </c>
      <c r="U82" s="8">
        <f>SUM(S82:T82)</f>
        <v>4.84</v>
      </c>
      <c r="V82" s="4">
        <v>0.65</v>
      </c>
      <c r="X82" s="4">
        <v>0</v>
      </c>
      <c r="Y82" s="4">
        <v>8.8000000000000007</v>
      </c>
      <c r="Z82" s="4">
        <v>16</v>
      </c>
      <c r="AA82" s="4">
        <v>20.94</v>
      </c>
      <c r="AB82" s="4">
        <v>0.75388599999999995</v>
      </c>
      <c r="AC82" s="4">
        <v>0</v>
      </c>
      <c r="AD82" s="4">
        <v>0</v>
      </c>
      <c r="AE82" s="5">
        <v>379272</v>
      </c>
      <c r="AF82" s="4">
        <v>0.25</v>
      </c>
      <c r="AG82" s="4">
        <v>0.36</v>
      </c>
      <c r="AH82" s="4">
        <v>2.75</v>
      </c>
      <c r="AI82" s="4">
        <v>30475.1</v>
      </c>
      <c r="AJ82" s="4">
        <v>343936</v>
      </c>
      <c r="AK82" s="6">
        <v>110000000</v>
      </c>
      <c r="AL82" s="4" t="s">
        <v>367</v>
      </c>
      <c r="AM82" s="4" t="s">
        <v>296</v>
      </c>
      <c r="AN82" s="4">
        <v>4</v>
      </c>
      <c r="AO82" s="4">
        <v>2.7399999999999999E-4</v>
      </c>
      <c r="AP82" s="4">
        <v>3.088E-3</v>
      </c>
    </row>
    <row r="83" spans="1:42" x14ac:dyDescent="0.25">
      <c r="A83" s="4" t="s">
        <v>376</v>
      </c>
      <c r="B83" s="4" t="s">
        <v>370</v>
      </c>
      <c r="C83" s="4">
        <v>12</v>
      </c>
      <c r="D83" s="4">
        <v>6</v>
      </c>
      <c r="E83" s="4">
        <v>2013</v>
      </c>
      <c r="F83" s="4">
        <v>5.38</v>
      </c>
      <c r="G83" s="4">
        <v>5.88</v>
      </c>
      <c r="H83" s="4">
        <v>5.38</v>
      </c>
      <c r="I83" s="4">
        <v>5.5</v>
      </c>
      <c r="J83" s="4">
        <v>5.5</v>
      </c>
      <c r="K83" s="4">
        <v>3.25</v>
      </c>
      <c r="L83" s="4">
        <v>4.38</v>
      </c>
      <c r="M83" s="4">
        <v>4.63</v>
      </c>
      <c r="N83" s="9">
        <f t="shared" si="10"/>
        <v>5.586666666666666</v>
      </c>
      <c r="O83" s="9">
        <f t="shared" si="11"/>
        <v>0.37666666666666782</v>
      </c>
      <c r="P83" s="9">
        <f t="shared" si="12"/>
        <v>0.75</v>
      </c>
      <c r="Q83" s="10">
        <v>1</v>
      </c>
      <c r="R83" s="10">
        <v>1</v>
      </c>
      <c r="S83" s="4">
        <v>1.9</v>
      </c>
      <c r="T83" s="4">
        <v>3.33</v>
      </c>
      <c r="U83" s="8">
        <f t="shared" ref="U83:U84" si="14">SUM(S83:T83)</f>
        <v>5.23</v>
      </c>
      <c r="V83" s="4">
        <v>0.54</v>
      </c>
      <c r="X83" s="4">
        <v>0</v>
      </c>
      <c r="Y83" s="4">
        <v>8</v>
      </c>
      <c r="Z83" s="4">
        <v>16</v>
      </c>
      <c r="AA83" s="4">
        <v>9.67</v>
      </c>
      <c r="AB83" s="4">
        <v>0.75388599999999995</v>
      </c>
      <c r="AC83" s="4">
        <v>0</v>
      </c>
      <c r="AD83" s="4">
        <v>0</v>
      </c>
      <c r="AE83" s="4">
        <v>0.46917900000000001</v>
      </c>
      <c r="AF83" s="4">
        <v>0.25</v>
      </c>
      <c r="AG83" s="4">
        <v>0.6</v>
      </c>
      <c r="AH83" s="4">
        <v>2.75</v>
      </c>
      <c r="AI83" s="4">
        <v>40752.6</v>
      </c>
      <c r="AJ83" s="4">
        <v>384554</v>
      </c>
      <c r="AK83" s="6">
        <v>120000000</v>
      </c>
      <c r="AL83" s="4" t="s">
        <v>371</v>
      </c>
      <c r="AM83" s="4" t="s">
        <v>278</v>
      </c>
      <c r="AN83" s="4">
        <v>2</v>
      </c>
      <c r="AO83" s="4">
        <v>3.39E-4</v>
      </c>
      <c r="AP83" s="4">
        <v>3.1949999999999999E-3</v>
      </c>
    </row>
    <row r="84" spans="1:42" x14ac:dyDescent="0.25">
      <c r="A84" s="4" t="s">
        <v>444</v>
      </c>
      <c r="B84" s="4" t="s">
        <v>370</v>
      </c>
      <c r="C84" s="4">
        <v>12</v>
      </c>
      <c r="D84" s="4">
        <v>7</v>
      </c>
      <c r="E84" s="4">
        <v>2019</v>
      </c>
      <c r="F84" s="4">
        <v>3.5</v>
      </c>
      <c r="G84" s="4">
        <v>3.87</v>
      </c>
      <c r="H84" s="4">
        <v>4.12</v>
      </c>
      <c r="I84" s="4">
        <v>3.62</v>
      </c>
      <c r="J84" s="4">
        <v>4</v>
      </c>
      <c r="K84" s="4">
        <v>3.37</v>
      </c>
      <c r="L84" s="4">
        <v>2.5</v>
      </c>
      <c r="M84" s="4">
        <v>1.75</v>
      </c>
      <c r="N84" s="9">
        <f t="shared" si="10"/>
        <v>3.9966666666666666</v>
      </c>
      <c r="O84" s="9">
        <f t="shared" si="11"/>
        <v>1.5899999999999994</v>
      </c>
      <c r="P84" s="9">
        <f t="shared" si="12"/>
        <v>1.88</v>
      </c>
      <c r="Q84" s="10">
        <v>1</v>
      </c>
      <c r="R84" s="10">
        <v>1</v>
      </c>
      <c r="S84" s="4">
        <v>3.34</v>
      </c>
      <c r="T84" s="4">
        <v>3.73</v>
      </c>
      <c r="U84" s="8">
        <f t="shared" si="14"/>
        <v>7.07</v>
      </c>
      <c r="V84" s="4">
        <v>0.65</v>
      </c>
      <c r="AK84" s="6"/>
    </row>
    <row r="85" spans="1:42" x14ac:dyDescent="0.25">
      <c r="A85" s="4" t="s">
        <v>377</v>
      </c>
      <c r="B85" s="4" t="s">
        <v>230</v>
      </c>
      <c r="C85" s="4">
        <v>15</v>
      </c>
      <c r="D85" s="4">
        <v>1</v>
      </c>
      <c r="E85" s="4">
        <v>1989</v>
      </c>
      <c r="F85" s="4">
        <v>6.25</v>
      </c>
      <c r="G85" s="4">
        <v>4</v>
      </c>
      <c r="H85" s="4">
        <v>5.4</v>
      </c>
      <c r="I85" s="4">
        <v>4.75</v>
      </c>
      <c r="J85" s="4">
        <v>5.8</v>
      </c>
      <c r="K85" s="4">
        <v>3.4</v>
      </c>
      <c r="L85" s="4">
        <v>4.4000000000000004</v>
      </c>
      <c r="M85" s="4">
        <v>3.8</v>
      </c>
      <c r="N85" s="9">
        <f t="shared" si="10"/>
        <v>5.0666666666666664</v>
      </c>
      <c r="O85" s="9"/>
      <c r="P85" s="9"/>
      <c r="X85" s="4">
        <v>0</v>
      </c>
      <c r="Y85" s="4">
        <v>7.5</v>
      </c>
      <c r="Z85" s="4">
        <v>21</v>
      </c>
      <c r="AB85" s="4">
        <v>0.113525</v>
      </c>
      <c r="AC85" s="4">
        <v>1</v>
      </c>
      <c r="AD85" s="4">
        <v>0</v>
      </c>
      <c r="AE85" s="5">
        <v>298495</v>
      </c>
      <c r="AF85" s="4">
        <v>0.25</v>
      </c>
      <c r="AG85" s="4">
        <v>0.94</v>
      </c>
      <c r="AH85" s="5">
        <v>233333</v>
      </c>
      <c r="AI85" s="4">
        <v>25.33</v>
      </c>
      <c r="AJ85" s="4">
        <v>155.85</v>
      </c>
      <c r="AK85" s="6">
        <v>4100000</v>
      </c>
      <c r="AL85" s="4" t="s">
        <v>378</v>
      </c>
      <c r="AM85" s="4" t="s">
        <v>281</v>
      </c>
      <c r="AN85" s="4">
        <v>3</v>
      </c>
      <c r="AO85" s="6">
        <v>6.1999999999999999E-6</v>
      </c>
      <c r="AP85" s="4">
        <v>3.8000000000000002E-5</v>
      </c>
    </row>
    <row r="86" spans="1:42" x14ac:dyDescent="0.25">
      <c r="A86" s="4" t="s">
        <v>379</v>
      </c>
      <c r="B86" s="4" t="s">
        <v>230</v>
      </c>
      <c r="C86" s="4">
        <v>15</v>
      </c>
      <c r="D86" s="4">
        <v>2</v>
      </c>
      <c r="E86" s="4">
        <v>1993</v>
      </c>
      <c r="F86" s="4">
        <v>5.75</v>
      </c>
      <c r="G86" s="4">
        <v>4</v>
      </c>
      <c r="H86" s="4">
        <v>5.4</v>
      </c>
      <c r="I86" s="4">
        <v>4.75</v>
      </c>
      <c r="J86" s="4">
        <v>5.8</v>
      </c>
      <c r="K86" s="4">
        <v>3.2</v>
      </c>
      <c r="L86" s="4">
        <v>4.2</v>
      </c>
      <c r="M86" s="4">
        <v>4.4000000000000004</v>
      </c>
      <c r="N86" s="9">
        <f t="shared" si="10"/>
        <v>5.0666666666666664</v>
      </c>
      <c r="O86" s="9">
        <f t="shared" si="11"/>
        <v>0</v>
      </c>
      <c r="P86" s="9">
        <f t="shared" si="12"/>
        <v>0.5</v>
      </c>
      <c r="X86" s="4">
        <v>0</v>
      </c>
      <c r="Y86" s="4">
        <v>7.7</v>
      </c>
      <c r="Z86" s="4">
        <v>21</v>
      </c>
      <c r="AA86" s="4">
        <v>34.299999999999997</v>
      </c>
      <c r="AB86" s="4">
        <v>0.113525</v>
      </c>
      <c r="AC86" s="4">
        <v>0</v>
      </c>
      <c r="AD86" s="4">
        <v>0</v>
      </c>
      <c r="AE86" s="5">
        <v>140651</v>
      </c>
      <c r="AF86" s="4">
        <v>0.16666700000000001</v>
      </c>
      <c r="AG86" s="4">
        <v>0.94</v>
      </c>
      <c r="AH86" s="5">
        <v>233333</v>
      </c>
      <c r="AI86" s="4">
        <v>2.21</v>
      </c>
      <c r="AJ86" s="4">
        <v>286.86</v>
      </c>
      <c r="AK86" s="6">
        <v>4500000</v>
      </c>
      <c r="AL86" s="4" t="s">
        <v>378</v>
      </c>
      <c r="AM86" s="4" t="s">
        <v>281</v>
      </c>
      <c r="AN86" s="4">
        <v>3</v>
      </c>
      <c r="AO86" s="6">
        <v>4.8999999999999997E-7</v>
      </c>
      <c r="AP86" s="4">
        <v>6.3E-5</v>
      </c>
    </row>
    <row r="87" spans="1:42" x14ac:dyDescent="0.25">
      <c r="A87" s="4" t="s">
        <v>380</v>
      </c>
      <c r="B87" s="4" t="s">
        <v>230</v>
      </c>
      <c r="C87" s="4">
        <v>15</v>
      </c>
      <c r="D87" s="4">
        <v>3</v>
      </c>
      <c r="E87" s="4">
        <v>1999</v>
      </c>
      <c r="F87" s="4">
        <v>5.75</v>
      </c>
      <c r="G87" s="4">
        <v>4</v>
      </c>
      <c r="H87" s="4">
        <v>5.2</v>
      </c>
      <c r="I87" s="4">
        <v>4.75</v>
      </c>
      <c r="J87" s="4">
        <v>5.6</v>
      </c>
      <c r="K87" s="4">
        <v>3.4</v>
      </c>
      <c r="L87" s="4">
        <v>4</v>
      </c>
      <c r="M87" s="4">
        <v>3.8</v>
      </c>
      <c r="N87" s="9">
        <f t="shared" si="10"/>
        <v>4.9333333333333327</v>
      </c>
      <c r="O87" s="9">
        <f t="shared" si="11"/>
        <v>0.13333333333333375</v>
      </c>
      <c r="P87" s="9">
        <f t="shared" si="12"/>
        <v>0</v>
      </c>
      <c r="X87" s="4">
        <v>1</v>
      </c>
      <c r="Y87" s="4">
        <v>7</v>
      </c>
      <c r="Z87" s="4">
        <v>21</v>
      </c>
      <c r="AA87" s="4">
        <v>18.600000000000001</v>
      </c>
      <c r="AB87" s="4">
        <v>0.113525</v>
      </c>
      <c r="AC87" s="4">
        <v>0</v>
      </c>
      <c r="AD87" s="4">
        <v>1</v>
      </c>
      <c r="AE87" s="5">
        <v>-354219</v>
      </c>
      <c r="AF87" s="4">
        <v>0.1</v>
      </c>
      <c r="AG87" s="4">
        <v>0.94</v>
      </c>
      <c r="AH87" s="5">
        <v>233333</v>
      </c>
      <c r="AI87" s="4">
        <v>213.56</v>
      </c>
      <c r="AJ87" s="4">
        <v>637.38</v>
      </c>
      <c r="AK87" s="6">
        <v>5200000</v>
      </c>
      <c r="AL87" s="4" t="s">
        <v>378</v>
      </c>
      <c r="AM87" s="4" t="s">
        <v>296</v>
      </c>
      <c r="AN87" s="4">
        <v>4</v>
      </c>
      <c r="AO87" s="4">
        <v>4.1E-5</v>
      </c>
      <c r="AP87" s="4">
        <v>1.2300000000000001E-4</v>
      </c>
    </row>
    <row r="88" spans="1:42" x14ac:dyDescent="0.25">
      <c r="A88" s="4" t="s">
        <v>381</v>
      </c>
      <c r="B88" s="4" t="s">
        <v>230</v>
      </c>
      <c r="C88" s="4">
        <v>15</v>
      </c>
      <c r="D88" s="4">
        <v>4</v>
      </c>
      <c r="E88" s="4">
        <v>2003</v>
      </c>
      <c r="F88" s="4">
        <v>3.8</v>
      </c>
      <c r="G88" s="4">
        <v>4.2</v>
      </c>
      <c r="H88" s="4">
        <v>3.2</v>
      </c>
      <c r="I88" s="4">
        <v>4.2</v>
      </c>
      <c r="J88" s="4">
        <v>3.8</v>
      </c>
      <c r="K88" s="4">
        <v>3.6</v>
      </c>
      <c r="L88" s="4">
        <v>4.4000000000000004</v>
      </c>
      <c r="M88" s="4">
        <v>4</v>
      </c>
      <c r="N88" s="9">
        <f t="shared" si="10"/>
        <v>3.7333333333333329</v>
      </c>
      <c r="O88" s="9">
        <f t="shared" si="11"/>
        <v>1.1999999999999997</v>
      </c>
      <c r="P88" s="9">
        <f t="shared" si="12"/>
        <v>1.9500000000000002</v>
      </c>
      <c r="Q88" s="10">
        <v>0</v>
      </c>
      <c r="R88" s="10">
        <v>1</v>
      </c>
      <c r="S88" s="4">
        <v>1.39</v>
      </c>
      <c r="T88" s="4">
        <v>1.87</v>
      </c>
      <c r="U88" s="8">
        <f>SUM(S88:T88)</f>
        <v>3.26</v>
      </c>
      <c r="V88" s="8">
        <v>0.6</v>
      </c>
      <c r="X88" s="4">
        <v>0</v>
      </c>
      <c r="Y88" s="4">
        <v>8</v>
      </c>
      <c r="Z88" s="4">
        <v>21</v>
      </c>
      <c r="AA88" s="4">
        <v>38.229999999999997</v>
      </c>
      <c r="AB88" s="4">
        <v>0.113525</v>
      </c>
      <c r="AC88" s="4">
        <v>0</v>
      </c>
      <c r="AD88" s="4">
        <v>0</v>
      </c>
      <c r="AE88" s="5">
        <v>181381</v>
      </c>
      <c r="AF88" s="4">
        <v>0.1</v>
      </c>
      <c r="AG88" s="4">
        <v>0.91</v>
      </c>
      <c r="AH88" s="5">
        <v>233333</v>
      </c>
      <c r="AI88" s="4">
        <v>289.99</v>
      </c>
      <c r="AJ88" s="4">
        <v>139.24</v>
      </c>
      <c r="AK88" s="6">
        <v>5600000</v>
      </c>
      <c r="AL88" s="4" t="s">
        <v>378</v>
      </c>
      <c r="AM88" s="4" t="s">
        <v>281</v>
      </c>
      <c r="AN88" s="4">
        <v>3</v>
      </c>
      <c r="AO88" s="4">
        <v>5.1999999999999997E-5</v>
      </c>
      <c r="AP88" s="4">
        <v>2.5000000000000001E-5</v>
      </c>
    </row>
    <row r="89" spans="1:42" x14ac:dyDescent="0.25">
      <c r="A89" s="4" t="s">
        <v>382</v>
      </c>
      <c r="B89" s="4" t="s">
        <v>230</v>
      </c>
      <c r="C89" s="4">
        <v>15</v>
      </c>
      <c r="D89" s="4">
        <v>5</v>
      </c>
      <c r="E89" s="4">
        <v>2008</v>
      </c>
      <c r="F89" s="4">
        <v>2.6</v>
      </c>
      <c r="G89" s="4">
        <v>4</v>
      </c>
      <c r="H89" s="4">
        <v>2.6</v>
      </c>
      <c r="I89" s="4">
        <v>3.4</v>
      </c>
      <c r="J89" s="4">
        <v>3.2</v>
      </c>
      <c r="K89" s="4">
        <v>3.8</v>
      </c>
      <c r="L89" s="4">
        <v>4.4000000000000004</v>
      </c>
      <c r="M89" s="4">
        <v>4</v>
      </c>
      <c r="N89" s="9">
        <f t="shared" si="10"/>
        <v>3.2666666666666671</v>
      </c>
      <c r="O89" s="9">
        <f t="shared" si="11"/>
        <v>0.4666666666666659</v>
      </c>
      <c r="P89" s="9">
        <f t="shared" si="12"/>
        <v>1.1999999999999997</v>
      </c>
      <c r="Q89" s="10">
        <v>1</v>
      </c>
      <c r="R89" s="10">
        <v>1</v>
      </c>
      <c r="S89" s="4">
        <v>1.4</v>
      </c>
      <c r="T89" s="4">
        <v>2.15</v>
      </c>
      <c r="U89" s="8">
        <f>SUM(S89:T89)</f>
        <v>3.55</v>
      </c>
      <c r="V89" s="4">
        <v>0.62</v>
      </c>
      <c r="X89" s="4">
        <v>0</v>
      </c>
      <c r="Y89" s="4">
        <v>8</v>
      </c>
      <c r="Z89" s="4">
        <v>21</v>
      </c>
      <c r="AA89" s="4">
        <v>17.16</v>
      </c>
      <c r="AB89" s="4">
        <v>0.113525</v>
      </c>
      <c r="AC89" s="4">
        <v>0</v>
      </c>
      <c r="AD89" s="4">
        <v>0</v>
      </c>
      <c r="AE89" s="5">
        <v>39401</v>
      </c>
      <c r="AF89" s="4">
        <v>0</v>
      </c>
      <c r="AG89" s="4">
        <v>0.68</v>
      </c>
      <c r="AH89" s="5">
        <v>233333</v>
      </c>
      <c r="AI89" s="4">
        <v>2635.96</v>
      </c>
      <c r="AJ89" s="4">
        <v>501.56</v>
      </c>
      <c r="AK89" s="6">
        <v>6000000</v>
      </c>
      <c r="AL89" s="4" t="s">
        <v>383</v>
      </c>
      <c r="AM89" s="4" t="s">
        <v>285</v>
      </c>
      <c r="AN89" s="4">
        <v>1</v>
      </c>
      <c r="AO89" s="4">
        <v>4.3600000000000003E-4</v>
      </c>
      <c r="AP89" s="4">
        <v>8.2999999999999998E-5</v>
      </c>
    </row>
    <row r="90" spans="1:42" x14ac:dyDescent="0.25">
      <c r="A90" s="4" t="s">
        <v>384</v>
      </c>
      <c r="B90" s="4" t="s">
        <v>230</v>
      </c>
      <c r="C90" s="4">
        <v>15</v>
      </c>
      <c r="D90" s="4">
        <v>6</v>
      </c>
      <c r="E90" s="4">
        <v>2013</v>
      </c>
      <c r="F90" s="4">
        <f>(5.6+6.8)/2</f>
        <v>6.1999999999999993</v>
      </c>
      <c r="G90" s="4">
        <f>(5+5.6)/2</f>
        <v>5.3</v>
      </c>
      <c r="H90" s="4">
        <f>(4.2+5.4)/2</f>
        <v>4.8000000000000007</v>
      </c>
      <c r="I90" s="4">
        <f>(4.4+4.8)/2</f>
        <v>4.5999999999999996</v>
      </c>
      <c r="J90" s="4">
        <f>(5.4+6.2)/2</f>
        <v>5.8000000000000007</v>
      </c>
      <c r="K90" s="4">
        <f>(2.6+2.8)/2</f>
        <v>2.7</v>
      </c>
      <c r="L90" s="4">
        <f>(4.6+4)/2</f>
        <v>4.3</v>
      </c>
      <c r="M90" s="4">
        <f>(4.4+4.8)/2</f>
        <v>4.5999999999999996</v>
      </c>
      <c r="N90" s="9">
        <f t="shared" si="10"/>
        <v>5.3000000000000007</v>
      </c>
      <c r="O90" s="9">
        <f t="shared" si="11"/>
        <v>2.0333333333333337</v>
      </c>
      <c r="P90" s="9">
        <f t="shared" si="12"/>
        <v>3.5999999999999992</v>
      </c>
      <c r="Q90" s="10">
        <v>1</v>
      </c>
      <c r="R90" s="10">
        <v>1</v>
      </c>
      <c r="S90" s="4">
        <v>1.4</v>
      </c>
      <c r="T90" s="4">
        <v>2.15</v>
      </c>
      <c r="U90" s="8">
        <f t="shared" ref="U90:U91" si="15">SUM(S90:T90)</f>
        <v>3.55</v>
      </c>
      <c r="V90" s="4">
        <v>0.59</v>
      </c>
      <c r="X90" s="4">
        <v>1</v>
      </c>
      <c r="Y90" s="4">
        <v>8</v>
      </c>
      <c r="Z90" s="4">
        <v>21</v>
      </c>
      <c r="AA90" s="4">
        <v>21.46</v>
      </c>
      <c r="AB90" s="4">
        <v>0.113525</v>
      </c>
      <c r="AC90" s="4">
        <v>0</v>
      </c>
      <c r="AD90" s="4">
        <v>0</v>
      </c>
      <c r="AE90" s="5">
        <v>239365</v>
      </c>
      <c r="AF90" s="4">
        <v>0.1</v>
      </c>
      <c r="AG90" s="4">
        <v>0.63</v>
      </c>
      <c r="AH90" s="5">
        <v>233333</v>
      </c>
      <c r="AI90" s="4">
        <v>2921.64</v>
      </c>
      <c r="AJ90" s="4">
        <v>467.24</v>
      </c>
      <c r="AK90" s="6">
        <v>6400000</v>
      </c>
      <c r="AL90" s="4" t="s">
        <v>383</v>
      </c>
      <c r="AM90" s="4" t="s">
        <v>285</v>
      </c>
      <c r="AN90" s="4">
        <v>1</v>
      </c>
      <c r="AO90" s="4">
        <v>4.5800000000000002E-4</v>
      </c>
      <c r="AP90" s="4">
        <v>7.2999999999999999E-5</v>
      </c>
    </row>
    <row r="91" spans="1:42" x14ac:dyDescent="0.25">
      <c r="A91" s="4" t="s">
        <v>445</v>
      </c>
      <c r="B91" s="4" t="s">
        <v>230</v>
      </c>
      <c r="C91" s="4">
        <v>15</v>
      </c>
      <c r="D91" s="4">
        <v>7</v>
      </c>
      <c r="E91" s="4">
        <v>2018</v>
      </c>
      <c r="F91" s="4">
        <v>6.6</v>
      </c>
      <c r="G91" s="4">
        <v>5.4</v>
      </c>
      <c r="H91" s="4">
        <v>4.5999999999999996</v>
      </c>
      <c r="I91" s="4">
        <v>4.8</v>
      </c>
      <c r="J91" s="4">
        <v>6</v>
      </c>
      <c r="K91" s="4">
        <v>3.4</v>
      </c>
      <c r="L91" s="4">
        <v>3.6</v>
      </c>
      <c r="M91" s="4">
        <v>4</v>
      </c>
      <c r="N91" s="9">
        <f t="shared" si="10"/>
        <v>5.333333333333333</v>
      </c>
      <c r="O91" s="9">
        <f t="shared" si="11"/>
        <v>3.3333333333332327E-2</v>
      </c>
      <c r="P91" s="9">
        <f t="shared" si="12"/>
        <v>0.40000000000000036</v>
      </c>
      <c r="Q91" s="10">
        <v>0</v>
      </c>
      <c r="R91" s="10">
        <v>1</v>
      </c>
      <c r="S91" s="4">
        <v>1.54</v>
      </c>
      <c r="T91" s="8">
        <v>2</v>
      </c>
      <c r="U91" s="8">
        <f t="shared" si="15"/>
        <v>3.54</v>
      </c>
      <c r="V91" s="4">
        <v>0.56999999999999995</v>
      </c>
      <c r="AE91" s="5"/>
      <c r="AH91" s="5"/>
      <c r="AK91" s="6"/>
    </row>
    <row r="92" spans="1:42" x14ac:dyDescent="0.25">
      <c r="A92" s="4" t="s">
        <v>385</v>
      </c>
      <c r="B92" s="4" t="s">
        <v>386</v>
      </c>
      <c r="C92" s="4">
        <v>16</v>
      </c>
      <c r="D92" s="4">
        <v>1</v>
      </c>
      <c r="E92" s="4">
        <v>1980</v>
      </c>
      <c r="F92" s="4">
        <v>4.67</v>
      </c>
      <c r="G92" s="4">
        <v>4.1100000000000003</v>
      </c>
      <c r="H92" s="4">
        <v>4.22</v>
      </c>
      <c r="I92" s="4">
        <v>3.75</v>
      </c>
      <c r="J92" s="4">
        <v>4.67</v>
      </c>
      <c r="K92" s="4">
        <v>4</v>
      </c>
      <c r="L92" s="4">
        <v>3.78</v>
      </c>
      <c r="M92" s="4">
        <v>4.1100000000000003</v>
      </c>
      <c r="N92" s="9">
        <f t="shared" si="10"/>
        <v>4.333333333333333</v>
      </c>
      <c r="O92" s="9"/>
      <c r="P92" s="9"/>
      <c r="Q92" s="10"/>
      <c r="R92" s="10"/>
      <c r="X92" s="4">
        <v>0</v>
      </c>
      <c r="Y92" s="4">
        <v>9</v>
      </c>
      <c r="Z92" s="4">
        <v>11</v>
      </c>
      <c r="AB92" s="4">
        <v>0.28443200000000002</v>
      </c>
      <c r="AC92" s="4">
        <v>0</v>
      </c>
      <c r="AD92" s="4">
        <v>0</v>
      </c>
      <c r="AE92" s="4">
        <v>0.467335</v>
      </c>
      <c r="AF92" s="4">
        <v>0.2</v>
      </c>
      <c r="AG92" s="4">
        <v>0.55000000000000004</v>
      </c>
      <c r="AH92" s="5">
        <v>341667</v>
      </c>
      <c r="AI92" s="4">
        <v>104.73</v>
      </c>
      <c r="AJ92" s="4">
        <v>2296.34</v>
      </c>
      <c r="AK92" s="6">
        <v>17000000</v>
      </c>
      <c r="AL92" s="4" t="s">
        <v>387</v>
      </c>
      <c r="AM92" s="4" t="s">
        <v>281</v>
      </c>
      <c r="AN92" s="4">
        <v>3</v>
      </c>
      <c r="AO92" s="6">
        <v>6.0000000000000002E-6</v>
      </c>
      <c r="AP92" s="4">
        <v>1.3200000000000001E-4</v>
      </c>
    </row>
    <row r="93" spans="1:42" x14ac:dyDescent="0.25">
      <c r="A93" s="4" t="s">
        <v>388</v>
      </c>
      <c r="B93" s="4" t="s">
        <v>386</v>
      </c>
      <c r="C93" s="4">
        <v>16</v>
      </c>
      <c r="D93" s="4">
        <v>2</v>
      </c>
      <c r="E93" s="4">
        <v>1985</v>
      </c>
      <c r="F93" s="4">
        <v>2.67</v>
      </c>
      <c r="G93" s="4">
        <v>2</v>
      </c>
      <c r="H93" s="4">
        <v>2.56</v>
      </c>
      <c r="I93" s="4">
        <v>2.44</v>
      </c>
      <c r="J93" s="4">
        <v>2.44</v>
      </c>
      <c r="K93" s="4">
        <v>4.33</v>
      </c>
      <c r="L93" s="4">
        <v>3.67</v>
      </c>
      <c r="M93" s="4">
        <v>3.22</v>
      </c>
      <c r="N93" s="9">
        <f t="shared" si="10"/>
        <v>2.3333333333333335</v>
      </c>
      <c r="O93" s="9">
        <f t="shared" si="11"/>
        <v>1.9999999999999996</v>
      </c>
      <c r="P93" s="9">
        <f t="shared" si="12"/>
        <v>2</v>
      </c>
      <c r="X93" s="4">
        <v>0</v>
      </c>
      <c r="Y93" s="4">
        <v>8.8000000000000007</v>
      </c>
      <c r="Z93" s="4">
        <v>11</v>
      </c>
      <c r="AA93" s="4">
        <v>49.8</v>
      </c>
      <c r="AB93" s="4">
        <v>0.28443200000000002</v>
      </c>
      <c r="AC93" s="4">
        <v>0</v>
      </c>
      <c r="AD93" s="4">
        <v>0</v>
      </c>
      <c r="AE93" s="4">
        <v>0.46042300000000003</v>
      </c>
      <c r="AF93" s="4">
        <v>0.5</v>
      </c>
      <c r="AG93" s="4">
        <v>0.55000000000000004</v>
      </c>
      <c r="AH93" s="5">
        <v>341667</v>
      </c>
      <c r="AI93" s="4">
        <v>78.150000000000006</v>
      </c>
      <c r="AJ93" s="4">
        <v>1593.43</v>
      </c>
      <c r="AK93" s="6">
        <v>20000000</v>
      </c>
      <c r="AL93" s="4" t="s">
        <v>389</v>
      </c>
      <c r="AM93" s="4" t="s">
        <v>285</v>
      </c>
      <c r="AN93" s="4">
        <v>1</v>
      </c>
      <c r="AO93" s="6">
        <v>3.9999999999999998E-6</v>
      </c>
      <c r="AP93" s="4">
        <v>8.2000000000000001E-5</v>
      </c>
    </row>
    <row r="94" spans="1:42" x14ac:dyDescent="0.25">
      <c r="A94" s="4" t="s">
        <v>390</v>
      </c>
      <c r="B94" s="4" t="s">
        <v>386</v>
      </c>
      <c r="C94" s="4">
        <v>16</v>
      </c>
      <c r="D94" s="4">
        <v>3</v>
      </c>
      <c r="E94" s="4">
        <v>1990</v>
      </c>
      <c r="F94" s="4">
        <v>4.78</v>
      </c>
      <c r="G94" s="4">
        <v>5.33</v>
      </c>
      <c r="H94" s="4">
        <v>5</v>
      </c>
      <c r="I94" s="4">
        <v>4.5599999999999996</v>
      </c>
      <c r="J94" s="4">
        <v>5.33</v>
      </c>
      <c r="K94" s="4">
        <v>3.33</v>
      </c>
      <c r="L94" s="4">
        <v>3.44</v>
      </c>
      <c r="M94" s="4">
        <v>4.22</v>
      </c>
      <c r="N94" s="9">
        <f t="shared" si="10"/>
        <v>5.22</v>
      </c>
      <c r="O94" s="9">
        <f t="shared" si="11"/>
        <v>2.8866666666666663</v>
      </c>
      <c r="P94" s="9">
        <f t="shared" si="12"/>
        <v>2.1100000000000003</v>
      </c>
      <c r="X94" s="4">
        <v>1</v>
      </c>
      <c r="Y94" s="4">
        <v>6.5</v>
      </c>
      <c r="Z94" s="4">
        <v>11</v>
      </c>
      <c r="AA94" s="4">
        <v>50.95</v>
      </c>
      <c r="AB94" s="4">
        <v>0.28443200000000002</v>
      </c>
      <c r="AC94" s="4">
        <v>1</v>
      </c>
      <c r="AD94" s="4">
        <v>0</v>
      </c>
      <c r="AE94" s="5">
        <v>-709008</v>
      </c>
      <c r="AF94" s="4">
        <v>0.58333299999999999</v>
      </c>
      <c r="AG94" s="4">
        <v>0.47</v>
      </c>
      <c r="AH94" s="5">
        <v>341667</v>
      </c>
      <c r="AI94" s="4">
        <v>92.59</v>
      </c>
      <c r="AJ94" s="4">
        <v>1732.64</v>
      </c>
      <c r="AK94" s="6">
        <v>22000000</v>
      </c>
      <c r="AL94" s="4" t="s">
        <v>391</v>
      </c>
      <c r="AM94" s="4" t="s">
        <v>281</v>
      </c>
      <c r="AN94" s="4">
        <v>3</v>
      </c>
      <c r="AO94" s="6">
        <v>4.1999999999999996E-6</v>
      </c>
      <c r="AP94" s="4">
        <v>7.8999999999999996E-5</v>
      </c>
    </row>
    <row r="95" spans="1:42" x14ac:dyDescent="0.25">
      <c r="A95" s="4" t="s">
        <v>392</v>
      </c>
      <c r="B95" s="4" t="s">
        <v>386</v>
      </c>
      <c r="C95" s="4">
        <v>16</v>
      </c>
      <c r="D95" s="4">
        <v>4</v>
      </c>
      <c r="E95" s="4">
        <v>1994</v>
      </c>
      <c r="F95" s="4">
        <v>5.44</v>
      </c>
      <c r="G95" s="4">
        <v>5.67</v>
      </c>
      <c r="H95" s="4">
        <v>5.56</v>
      </c>
      <c r="I95" s="4">
        <v>4.78</v>
      </c>
      <c r="J95" s="4">
        <v>5.67</v>
      </c>
      <c r="K95" s="4">
        <v>3.78</v>
      </c>
      <c r="L95" s="4">
        <v>4.1100000000000003</v>
      </c>
      <c r="M95" s="4">
        <v>4.1100000000000003</v>
      </c>
      <c r="N95" s="9">
        <f t="shared" si="10"/>
        <v>5.6333333333333329</v>
      </c>
      <c r="O95" s="9">
        <f t="shared" si="11"/>
        <v>0.41333333333333311</v>
      </c>
      <c r="P95" s="9">
        <f t="shared" si="12"/>
        <v>0.66000000000000014</v>
      </c>
      <c r="X95" s="4">
        <v>0</v>
      </c>
      <c r="Y95" s="4">
        <v>4.25</v>
      </c>
      <c r="Z95" s="4">
        <v>15</v>
      </c>
      <c r="AA95" s="4">
        <v>70.680000000000007</v>
      </c>
      <c r="AB95" s="4">
        <v>0.28443200000000002</v>
      </c>
      <c r="AC95" s="4">
        <v>0</v>
      </c>
      <c r="AD95" s="4">
        <v>0</v>
      </c>
      <c r="AE95" s="5">
        <v>107623</v>
      </c>
      <c r="AF95" s="4">
        <v>0.5</v>
      </c>
      <c r="AG95" s="4">
        <v>0.47</v>
      </c>
      <c r="AH95" s="5">
        <v>341667</v>
      </c>
      <c r="AI95" s="4">
        <v>455.27</v>
      </c>
      <c r="AJ95" s="4">
        <v>2617.35</v>
      </c>
      <c r="AK95" s="6">
        <v>24000000</v>
      </c>
      <c r="AL95" s="4" t="s">
        <v>391</v>
      </c>
      <c r="AM95" s="4" t="s">
        <v>281</v>
      </c>
      <c r="AN95" s="4">
        <v>3</v>
      </c>
      <c r="AO95" s="4">
        <v>1.9000000000000001E-5</v>
      </c>
      <c r="AP95" s="4">
        <v>1.11E-4</v>
      </c>
    </row>
    <row r="96" spans="1:42" x14ac:dyDescent="0.25">
      <c r="A96" s="4" t="s">
        <v>393</v>
      </c>
      <c r="B96" s="4" t="s">
        <v>386</v>
      </c>
      <c r="C96" s="4">
        <v>16</v>
      </c>
      <c r="D96" s="4">
        <v>5</v>
      </c>
      <c r="E96" s="4">
        <v>1998</v>
      </c>
      <c r="F96" s="4">
        <v>5.78</v>
      </c>
      <c r="G96" s="4">
        <v>5.89</v>
      </c>
      <c r="H96" s="4">
        <v>5.56</v>
      </c>
      <c r="I96" s="4">
        <v>4.67</v>
      </c>
      <c r="J96" s="4">
        <v>5.56</v>
      </c>
      <c r="K96" s="4">
        <v>4</v>
      </c>
      <c r="L96" s="4">
        <v>4</v>
      </c>
      <c r="M96" s="4">
        <v>4.1100000000000003</v>
      </c>
      <c r="N96" s="9">
        <f t="shared" si="10"/>
        <v>5.669999999999999</v>
      </c>
      <c r="O96" s="9">
        <f t="shared" si="11"/>
        <v>3.6666666666666181E-2</v>
      </c>
      <c r="P96" s="9">
        <f t="shared" si="12"/>
        <v>0.33999999999999986</v>
      </c>
      <c r="X96" s="4">
        <v>0</v>
      </c>
      <c r="Y96" s="4">
        <v>5.5</v>
      </c>
      <c r="Z96" s="4">
        <v>15</v>
      </c>
      <c r="AA96" s="4">
        <v>34.229999999999997</v>
      </c>
      <c r="AB96" s="4">
        <v>0.28443200000000002</v>
      </c>
      <c r="AC96" s="4">
        <v>0</v>
      </c>
      <c r="AD96" s="4">
        <v>0</v>
      </c>
      <c r="AE96" s="5">
        <v>-229208</v>
      </c>
      <c r="AF96" s="4">
        <v>0.5</v>
      </c>
      <c r="AG96" s="4">
        <v>0.45</v>
      </c>
      <c r="AH96" s="5">
        <v>341667</v>
      </c>
      <c r="AI96" s="4">
        <v>399.51</v>
      </c>
      <c r="AJ96" s="4">
        <v>4923.22</v>
      </c>
      <c r="AK96" s="6">
        <v>25000000</v>
      </c>
      <c r="AL96" s="4" t="s">
        <v>394</v>
      </c>
      <c r="AM96" s="4" t="s">
        <v>281</v>
      </c>
      <c r="AN96" s="4">
        <v>3</v>
      </c>
      <c r="AO96" s="4">
        <v>1.5999999999999999E-5</v>
      </c>
      <c r="AP96" s="4">
        <v>1.95E-4</v>
      </c>
    </row>
    <row r="97" spans="1:42" x14ac:dyDescent="0.25">
      <c r="A97" s="4" t="s">
        <v>395</v>
      </c>
      <c r="B97" s="4" t="s">
        <v>386</v>
      </c>
      <c r="C97" s="4">
        <v>16</v>
      </c>
      <c r="D97" s="4">
        <v>6</v>
      </c>
      <c r="E97" s="4">
        <v>2001</v>
      </c>
      <c r="F97" s="4">
        <v>4.67</v>
      </c>
      <c r="G97" s="4">
        <v>5.89</v>
      </c>
      <c r="H97" s="4">
        <v>5.22</v>
      </c>
      <c r="I97" s="4">
        <v>5</v>
      </c>
      <c r="J97" s="4">
        <v>5.67</v>
      </c>
      <c r="K97" s="4">
        <v>3.44</v>
      </c>
      <c r="L97" s="4">
        <v>4.22</v>
      </c>
      <c r="M97" s="4">
        <v>4.67</v>
      </c>
      <c r="N97" s="9">
        <f t="shared" si="10"/>
        <v>5.5933333333333337</v>
      </c>
      <c r="O97" s="9">
        <f t="shared" si="11"/>
        <v>7.6666666666665328E-2</v>
      </c>
      <c r="P97" s="9">
        <f t="shared" si="12"/>
        <v>1.1100000000000003</v>
      </c>
      <c r="Q97" s="10">
        <v>1</v>
      </c>
      <c r="R97" s="10">
        <v>1</v>
      </c>
      <c r="S97" s="4">
        <v>1.97</v>
      </c>
      <c r="T97" s="4">
        <v>1.42</v>
      </c>
      <c r="U97" s="8">
        <f>SUM(S97:T97)</f>
        <v>3.3899999999999997</v>
      </c>
      <c r="V97" s="4">
        <v>0.77</v>
      </c>
      <c r="X97" s="4">
        <v>1</v>
      </c>
      <c r="Y97" s="4">
        <v>9.1999999999999993</v>
      </c>
      <c r="Z97" s="4">
        <v>15</v>
      </c>
      <c r="AA97" s="4">
        <v>42.3</v>
      </c>
      <c r="AB97" s="4">
        <v>0.28443200000000002</v>
      </c>
      <c r="AC97" s="4">
        <v>0</v>
      </c>
      <c r="AD97" s="4">
        <v>1</v>
      </c>
      <c r="AE97" s="5">
        <v>-124855</v>
      </c>
      <c r="AF97" s="4">
        <v>0</v>
      </c>
      <c r="AG97" s="4">
        <v>0.5</v>
      </c>
      <c r="AH97" s="5">
        <v>341667</v>
      </c>
      <c r="AI97" s="4">
        <v>941.42</v>
      </c>
      <c r="AJ97" s="4">
        <v>3855.52</v>
      </c>
      <c r="AK97" s="6">
        <v>26000000</v>
      </c>
      <c r="AL97" s="4" t="s">
        <v>368</v>
      </c>
      <c r="AM97" s="4" t="s">
        <v>281</v>
      </c>
      <c r="AN97" s="4">
        <v>3</v>
      </c>
      <c r="AO97" s="4">
        <v>3.6000000000000001E-5</v>
      </c>
      <c r="AP97" s="4">
        <v>1.47E-4</v>
      </c>
    </row>
    <row r="98" spans="1:42" x14ac:dyDescent="0.25">
      <c r="A98" s="4" t="s">
        <v>396</v>
      </c>
      <c r="B98" s="4" t="s">
        <v>386</v>
      </c>
      <c r="C98" s="4">
        <v>16</v>
      </c>
      <c r="D98" s="4">
        <v>7</v>
      </c>
      <c r="E98" s="4">
        <v>2006</v>
      </c>
      <c r="F98" s="4">
        <v>5.67</v>
      </c>
      <c r="G98" s="4">
        <v>6.11</v>
      </c>
      <c r="H98" s="4">
        <v>5.56</v>
      </c>
      <c r="I98" s="4">
        <v>5</v>
      </c>
      <c r="J98" s="4">
        <v>5.67</v>
      </c>
      <c r="K98" s="4">
        <v>3.89</v>
      </c>
      <c r="L98" s="4">
        <v>4.4400000000000004</v>
      </c>
      <c r="M98" s="4">
        <v>4.5599999999999996</v>
      </c>
      <c r="N98" s="9">
        <f t="shared" si="10"/>
        <v>5.78</v>
      </c>
      <c r="O98" s="9">
        <f t="shared" si="11"/>
        <v>0.18666666666666654</v>
      </c>
      <c r="P98" s="9">
        <f t="shared" si="12"/>
        <v>1</v>
      </c>
      <c r="Q98" s="10">
        <v>1</v>
      </c>
      <c r="R98" s="10">
        <v>1</v>
      </c>
      <c r="S98" s="4">
        <v>2.13</v>
      </c>
      <c r="T98" s="4">
        <v>1.5</v>
      </c>
      <c r="U98" s="8">
        <f>SUM(S98:T98)</f>
        <v>3.63</v>
      </c>
      <c r="V98" s="4">
        <v>0.65</v>
      </c>
      <c r="X98" s="4">
        <v>0</v>
      </c>
      <c r="Y98" s="4">
        <v>9</v>
      </c>
      <c r="Z98" s="4">
        <v>15</v>
      </c>
      <c r="AA98" s="4">
        <v>44.2</v>
      </c>
      <c r="AB98" s="4">
        <v>0.28443200000000002</v>
      </c>
      <c r="AC98" s="4">
        <v>0</v>
      </c>
      <c r="AD98" s="4">
        <v>0</v>
      </c>
      <c r="AE98" s="5">
        <v>644018</v>
      </c>
      <c r="AF98" s="4">
        <v>0.25</v>
      </c>
      <c r="AG98" s="4">
        <v>0.4</v>
      </c>
      <c r="AH98" s="5">
        <v>341667</v>
      </c>
      <c r="AI98" s="4">
        <v>4116.13</v>
      </c>
      <c r="AJ98" s="4">
        <v>9375.02</v>
      </c>
      <c r="AK98" s="6">
        <v>28000000</v>
      </c>
      <c r="AL98" s="4" t="s">
        <v>389</v>
      </c>
      <c r="AM98" s="4" t="s">
        <v>281</v>
      </c>
      <c r="AN98" s="4">
        <v>3</v>
      </c>
      <c r="AO98" s="4">
        <v>1.47E-4</v>
      </c>
      <c r="AP98" s="4">
        <v>3.3500000000000001E-4</v>
      </c>
    </row>
    <row r="99" spans="1:42" x14ac:dyDescent="0.25">
      <c r="A99" s="4" t="s">
        <v>397</v>
      </c>
      <c r="B99" s="4" t="s">
        <v>386</v>
      </c>
      <c r="C99" s="4">
        <v>16</v>
      </c>
      <c r="D99" s="4">
        <v>8</v>
      </c>
      <c r="E99" s="4">
        <v>2011</v>
      </c>
      <c r="F99" s="4">
        <v>4.5599999999999996</v>
      </c>
      <c r="G99" s="4">
        <v>5.67</v>
      </c>
      <c r="H99" s="4">
        <v>4.4400000000000004</v>
      </c>
      <c r="I99" s="4">
        <v>4.78</v>
      </c>
      <c r="J99" s="4">
        <v>4.78</v>
      </c>
      <c r="K99" s="4">
        <v>4</v>
      </c>
      <c r="L99" s="4">
        <v>4</v>
      </c>
      <c r="M99" s="4">
        <v>4.1100000000000003</v>
      </c>
      <c r="N99" s="9">
        <f t="shared" si="10"/>
        <v>4.9633333333333338</v>
      </c>
      <c r="O99" s="9">
        <f t="shared" si="11"/>
        <v>0.81666666666666643</v>
      </c>
      <c r="P99" s="9">
        <f t="shared" si="12"/>
        <v>1.1100000000000003</v>
      </c>
      <c r="Q99" s="10">
        <v>1</v>
      </c>
      <c r="R99" s="10">
        <v>1</v>
      </c>
      <c r="S99" s="4">
        <v>2.02</v>
      </c>
      <c r="T99" s="4">
        <v>1.5</v>
      </c>
      <c r="U99" s="8">
        <f>SUM(S99:T99)</f>
        <v>3.52</v>
      </c>
      <c r="V99" s="8">
        <v>0.8</v>
      </c>
      <c r="X99" s="4">
        <v>0</v>
      </c>
      <c r="Y99" s="4">
        <v>9</v>
      </c>
      <c r="Z99" s="4">
        <v>15</v>
      </c>
      <c r="AA99" s="4">
        <v>37.799999999999997</v>
      </c>
      <c r="AB99" s="4">
        <v>0.28443200000000002</v>
      </c>
      <c r="AC99" s="4">
        <v>0</v>
      </c>
      <c r="AD99" s="4">
        <v>0</v>
      </c>
      <c r="AE99" s="5">
        <v>36144</v>
      </c>
      <c r="AF99" s="4">
        <v>0.25</v>
      </c>
      <c r="AG99" s="4">
        <v>0.45</v>
      </c>
      <c r="AH99" s="5">
        <v>341667</v>
      </c>
      <c r="AI99" s="4">
        <v>9006.94</v>
      </c>
      <c r="AJ99" s="4">
        <v>12803</v>
      </c>
      <c r="AK99" s="6">
        <v>30000000</v>
      </c>
      <c r="AL99" s="4" t="s">
        <v>398</v>
      </c>
      <c r="AM99" s="4" t="s">
        <v>296</v>
      </c>
      <c r="AN99" s="4">
        <v>4</v>
      </c>
      <c r="AO99" s="4">
        <v>3.0299999999999999E-4</v>
      </c>
      <c r="AP99" s="4">
        <v>4.2999999999999999E-4</v>
      </c>
    </row>
    <row r="100" spans="1:42" x14ac:dyDescent="0.25">
      <c r="A100" s="4" t="s">
        <v>446</v>
      </c>
      <c r="B100" s="4" t="s">
        <v>386</v>
      </c>
      <c r="C100" s="4">
        <v>16</v>
      </c>
      <c r="D100" s="4">
        <v>9</v>
      </c>
      <c r="E100" s="4">
        <v>2016</v>
      </c>
      <c r="F100" s="4">
        <v>6.4</v>
      </c>
      <c r="G100" s="4">
        <v>6</v>
      </c>
      <c r="H100" s="4">
        <v>6.5</v>
      </c>
      <c r="I100" s="4">
        <v>5.5</v>
      </c>
      <c r="J100" s="4">
        <v>5.5</v>
      </c>
      <c r="K100" s="4">
        <v>3</v>
      </c>
      <c r="L100" s="4">
        <v>4</v>
      </c>
      <c r="M100" s="4">
        <v>4.5</v>
      </c>
      <c r="N100" s="9">
        <f t="shared" si="10"/>
        <v>6</v>
      </c>
      <c r="O100" s="9">
        <f t="shared" si="11"/>
        <v>1.0366666666666662</v>
      </c>
      <c r="P100" s="9">
        <f t="shared" si="12"/>
        <v>1.8400000000000007</v>
      </c>
      <c r="Q100" s="10">
        <v>1</v>
      </c>
      <c r="R100" s="10">
        <v>1</v>
      </c>
      <c r="S100" s="4">
        <v>2.89</v>
      </c>
      <c r="T100" s="4">
        <v>2.09</v>
      </c>
      <c r="U100" s="8">
        <f>SUM(S100:T100)</f>
        <v>4.9800000000000004</v>
      </c>
      <c r="V100" s="4">
        <v>0.78</v>
      </c>
      <c r="AE100" s="5"/>
      <c r="AH100" s="5"/>
      <c r="AK100" s="6"/>
    </row>
    <row r="101" spans="1:42" x14ac:dyDescent="0.25">
      <c r="A101" s="4" t="s">
        <v>447</v>
      </c>
      <c r="B101" s="4" t="s">
        <v>386</v>
      </c>
      <c r="C101" s="4">
        <v>16</v>
      </c>
      <c r="D101" s="4">
        <v>10</v>
      </c>
      <c r="E101" s="4">
        <v>2018</v>
      </c>
      <c r="F101" s="4">
        <v>4.5</v>
      </c>
      <c r="G101" s="4">
        <v>5.5</v>
      </c>
      <c r="H101" s="4">
        <v>4.5</v>
      </c>
      <c r="I101" s="4">
        <v>4</v>
      </c>
      <c r="J101" s="4">
        <v>4</v>
      </c>
      <c r="K101" s="4">
        <v>3.5</v>
      </c>
      <c r="L101" s="4">
        <v>3.5</v>
      </c>
      <c r="M101" s="4">
        <v>3</v>
      </c>
      <c r="N101" s="9">
        <f t="shared" si="10"/>
        <v>4.666666666666667</v>
      </c>
      <c r="O101" s="9">
        <f t="shared" si="11"/>
        <v>1.333333333333333</v>
      </c>
      <c r="P101" s="9">
        <f t="shared" si="12"/>
        <v>1.9000000000000004</v>
      </c>
      <c r="Q101" s="10">
        <v>0</v>
      </c>
      <c r="R101" s="10">
        <v>1</v>
      </c>
      <c r="S101" s="4">
        <v>2.95</v>
      </c>
      <c r="T101" s="4">
        <v>2.35</v>
      </c>
      <c r="U101" s="8">
        <f t="shared" ref="U101:U102" si="16">SUM(S101:T101)</f>
        <v>5.3000000000000007</v>
      </c>
      <c r="V101" s="4">
        <v>0.79</v>
      </c>
      <c r="AE101" s="5"/>
      <c r="AH101" s="5"/>
      <c r="AK101" s="6"/>
    </row>
    <row r="102" spans="1:42" x14ac:dyDescent="0.25">
      <c r="A102" s="4" t="s">
        <v>448</v>
      </c>
      <c r="B102" s="4" t="s">
        <v>386</v>
      </c>
      <c r="C102" s="4">
        <v>16</v>
      </c>
      <c r="D102" s="4">
        <v>11</v>
      </c>
      <c r="E102" s="4">
        <v>2020</v>
      </c>
      <c r="F102" s="4">
        <v>4.5</v>
      </c>
      <c r="G102" s="4">
        <v>5.5</v>
      </c>
      <c r="H102" s="4">
        <v>4.5</v>
      </c>
      <c r="I102" s="4">
        <v>4</v>
      </c>
      <c r="J102" s="4">
        <v>4</v>
      </c>
      <c r="K102" s="4">
        <v>3</v>
      </c>
      <c r="L102" s="4">
        <v>3.5</v>
      </c>
      <c r="M102" s="4">
        <v>3</v>
      </c>
      <c r="N102" s="9">
        <f t="shared" si="10"/>
        <v>4.666666666666667</v>
      </c>
      <c r="O102" s="9">
        <f t="shared" si="11"/>
        <v>0</v>
      </c>
      <c r="P102" s="9">
        <f t="shared" si="12"/>
        <v>0</v>
      </c>
      <c r="Q102" s="4">
        <v>1</v>
      </c>
      <c r="R102" s="4">
        <v>1</v>
      </c>
      <c r="S102" s="4">
        <v>3.15</v>
      </c>
      <c r="T102" s="4">
        <v>3.17</v>
      </c>
      <c r="U102" s="8">
        <f t="shared" si="16"/>
        <v>6.32</v>
      </c>
      <c r="V102" s="4">
        <v>0.78</v>
      </c>
      <c r="AE102" s="5"/>
      <c r="AH102" s="5"/>
      <c r="AK102" s="6"/>
    </row>
    <row r="103" spans="1:42" x14ac:dyDescent="0.25">
      <c r="A103" s="4" t="s">
        <v>399</v>
      </c>
      <c r="B103" s="4" t="s">
        <v>232</v>
      </c>
      <c r="C103" s="4">
        <v>18</v>
      </c>
      <c r="D103" s="4">
        <v>1</v>
      </c>
      <c r="E103" s="4">
        <v>1985</v>
      </c>
      <c r="F103" s="4">
        <v>4.55</v>
      </c>
      <c r="G103" s="4">
        <v>3.64</v>
      </c>
      <c r="H103" s="4">
        <v>4.2699999999999996</v>
      </c>
      <c r="I103" s="4">
        <v>4.09</v>
      </c>
      <c r="J103" s="4">
        <v>4.09</v>
      </c>
      <c r="K103" s="4">
        <v>3.64</v>
      </c>
      <c r="L103" s="4">
        <v>4.82</v>
      </c>
      <c r="M103" s="4">
        <v>4.55</v>
      </c>
      <c r="N103" s="9">
        <f t="shared" si="10"/>
        <v>4</v>
      </c>
      <c r="O103" s="9"/>
      <c r="P103" s="9"/>
      <c r="X103" s="4">
        <v>0</v>
      </c>
      <c r="Y103" s="4">
        <v>10.199999999999999</v>
      </c>
      <c r="Z103" s="4">
        <v>18</v>
      </c>
      <c r="AB103" s="4">
        <v>0.177617</v>
      </c>
      <c r="AC103" s="4">
        <v>0</v>
      </c>
      <c r="AD103" s="4">
        <v>0</v>
      </c>
      <c r="AE103" s="4">
        <v>0.82461700000000004</v>
      </c>
      <c r="AF103" s="4">
        <v>0.3</v>
      </c>
      <c r="AG103" s="4">
        <v>0.04</v>
      </c>
      <c r="AH103" s="5">
        <v>371429</v>
      </c>
      <c r="AI103" s="4">
        <v>37.22</v>
      </c>
      <c r="AJ103" s="4">
        <v>624.62</v>
      </c>
      <c r="AK103" s="6">
        <v>3000000</v>
      </c>
      <c r="AL103" s="4" t="s">
        <v>400</v>
      </c>
      <c r="AM103" s="4" t="s">
        <v>278</v>
      </c>
      <c r="AN103" s="4">
        <v>2</v>
      </c>
      <c r="AO103" s="4">
        <v>1.2E-5</v>
      </c>
      <c r="AP103" s="4">
        <v>2.0699999999999999E-4</v>
      </c>
    </row>
    <row r="104" spans="1:42" x14ac:dyDescent="0.25">
      <c r="A104" s="4" t="s">
        <v>401</v>
      </c>
      <c r="B104" s="4" t="s">
        <v>232</v>
      </c>
      <c r="C104" s="4">
        <v>18</v>
      </c>
      <c r="D104" s="4">
        <v>2</v>
      </c>
      <c r="E104" s="4">
        <v>1990</v>
      </c>
      <c r="F104" s="4">
        <v>5.36</v>
      </c>
      <c r="G104" s="4">
        <v>5.27</v>
      </c>
      <c r="H104" s="4">
        <v>5</v>
      </c>
      <c r="I104" s="4">
        <v>3.82</v>
      </c>
      <c r="J104" s="4">
        <v>5.36</v>
      </c>
      <c r="K104" s="4">
        <v>3.27</v>
      </c>
      <c r="L104" s="4">
        <v>4.2699999999999996</v>
      </c>
      <c r="M104" s="4">
        <v>4.7300000000000004</v>
      </c>
      <c r="N104" s="9">
        <f t="shared" si="10"/>
        <v>5.21</v>
      </c>
      <c r="O104" s="9">
        <f t="shared" si="11"/>
        <v>1.21</v>
      </c>
      <c r="P104" s="9">
        <f t="shared" si="12"/>
        <v>0.8100000000000005</v>
      </c>
      <c r="X104" s="4">
        <v>0</v>
      </c>
      <c r="Y104" s="4">
        <v>10.6</v>
      </c>
      <c r="Z104" s="4">
        <v>18</v>
      </c>
      <c r="AA104" s="4">
        <v>11</v>
      </c>
      <c r="AB104" s="4">
        <v>0.177617</v>
      </c>
      <c r="AC104" s="4">
        <v>1</v>
      </c>
      <c r="AD104" s="4">
        <v>0</v>
      </c>
      <c r="AE104" s="4">
        <v>-0.36007</v>
      </c>
      <c r="AF104" s="4">
        <v>0.2</v>
      </c>
      <c r="AG104" s="4">
        <v>0.04</v>
      </c>
      <c r="AH104" s="5">
        <v>371429</v>
      </c>
      <c r="AI104" s="4">
        <v>76.95</v>
      </c>
      <c r="AJ104" s="4">
        <v>473.69</v>
      </c>
      <c r="AK104" s="6">
        <v>3100000</v>
      </c>
      <c r="AL104" s="4" t="s">
        <v>402</v>
      </c>
      <c r="AM104" s="4" t="s">
        <v>281</v>
      </c>
      <c r="AN104" s="4">
        <v>3</v>
      </c>
      <c r="AO104" s="4">
        <v>2.5000000000000001E-5</v>
      </c>
      <c r="AP104" s="4">
        <v>1.5200000000000001E-4</v>
      </c>
    </row>
    <row r="105" spans="1:42" x14ac:dyDescent="0.25">
      <c r="A105" s="4" t="s">
        <v>403</v>
      </c>
      <c r="B105" s="4" t="s">
        <v>232</v>
      </c>
      <c r="C105" s="4">
        <v>18</v>
      </c>
      <c r="D105" s="4">
        <v>3</v>
      </c>
      <c r="E105" s="4">
        <v>1995</v>
      </c>
      <c r="F105" s="4">
        <v>4.82</v>
      </c>
      <c r="G105" s="4">
        <v>4.45</v>
      </c>
      <c r="H105" s="4">
        <v>4.6399999999999997</v>
      </c>
      <c r="I105" s="4">
        <v>3.82</v>
      </c>
      <c r="J105" s="4">
        <v>4.55</v>
      </c>
      <c r="K105" s="4">
        <v>3.45</v>
      </c>
      <c r="L105" s="4">
        <v>4.2699999999999996</v>
      </c>
      <c r="M105" s="4">
        <v>4.3600000000000003</v>
      </c>
      <c r="N105" s="9">
        <f t="shared" si="10"/>
        <v>4.5466666666666669</v>
      </c>
      <c r="O105" s="9">
        <f t="shared" si="11"/>
        <v>0.66333333333333311</v>
      </c>
      <c r="P105" s="9">
        <f t="shared" si="12"/>
        <v>0.54</v>
      </c>
      <c r="X105" s="4">
        <v>0</v>
      </c>
      <c r="Y105" s="4">
        <v>10.8</v>
      </c>
      <c r="Z105" s="4">
        <v>18</v>
      </c>
      <c r="AA105" s="4">
        <v>16.87</v>
      </c>
      <c r="AB105" s="4">
        <v>0.177617</v>
      </c>
      <c r="AC105" s="4">
        <v>0</v>
      </c>
      <c r="AD105" s="4">
        <v>0</v>
      </c>
      <c r="AE105" s="5">
        <v>-217292</v>
      </c>
      <c r="AF105" s="4">
        <v>0.1</v>
      </c>
      <c r="AG105" s="4">
        <v>0.04</v>
      </c>
      <c r="AH105" s="5">
        <v>371429</v>
      </c>
      <c r="AI105" s="4">
        <v>119.84</v>
      </c>
      <c r="AJ105" s="4">
        <v>462.73</v>
      </c>
      <c r="AK105" s="6">
        <v>3200000</v>
      </c>
      <c r="AL105" s="4" t="s">
        <v>400</v>
      </c>
      <c r="AM105" s="4" t="s">
        <v>278</v>
      </c>
      <c r="AN105" s="4">
        <v>2</v>
      </c>
      <c r="AO105" s="4">
        <v>3.6999999999999998E-5</v>
      </c>
      <c r="AP105" s="4">
        <v>1.4300000000000001E-4</v>
      </c>
    </row>
    <row r="106" spans="1:42" x14ac:dyDescent="0.25">
      <c r="A106" s="4" t="s">
        <v>404</v>
      </c>
      <c r="B106" s="4" t="s">
        <v>232</v>
      </c>
      <c r="C106" s="4">
        <v>18</v>
      </c>
      <c r="D106" s="4">
        <v>4</v>
      </c>
      <c r="E106" s="4">
        <v>2000</v>
      </c>
      <c r="F106" s="4">
        <v>5.45</v>
      </c>
      <c r="G106" s="4">
        <v>5.27</v>
      </c>
      <c r="H106" s="4">
        <v>5.82</v>
      </c>
      <c r="I106" s="4">
        <v>3.64</v>
      </c>
      <c r="J106" s="4">
        <v>6</v>
      </c>
      <c r="K106" s="4">
        <v>2.91</v>
      </c>
      <c r="L106" s="4">
        <v>3.91</v>
      </c>
      <c r="M106" s="4">
        <v>4.45</v>
      </c>
      <c r="N106" s="9">
        <f t="shared" si="10"/>
        <v>5.6966666666666663</v>
      </c>
      <c r="O106" s="9">
        <f t="shared" si="11"/>
        <v>1.1499999999999995</v>
      </c>
      <c r="P106" s="9">
        <f t="shared" si="12"/>
        <v>0.62999999999999989</v>
      </c>
      <c r="Q106" s="10">
        <v>0</v>
      </c>
      <c r="R106" s="10">
        <v>1</v>
      </c>
      <c r="S106" s="4">
        <v>0.19</v>
      </c>
      <c r="T106" s="4">
        <v>1.81</v>
      </c>
      <c r="U106" s="8">
        <f>SUM(S106:T106)</f>
        <v>2</v>
      </c>
      <c r="V106" s="4">
        <v>0.87</v>
      </c>
      <c r="X106" s="4">
        <v>0</v>
      </c>
      <c r="Y106" s="4">
        <v>12</v>
      </c>
      <c r="Z106" s="4">
        <v>18</v>
      </c>
      <c r="AA106" s="4">
        <v>10.07</v>
      </c>
      <c r="AB106" s="4">
        <v>0.177617</v>
      </c>
      <c r="AC106" s="4">
        <v>0</v>
      </c>
      <c r="AD106" s="4">
        <v>1</v>
      </c>
      <c r="AE106" s="5">
        <v>-180039</v>
      </c>
      <c r="AF106" s="4">
        <v>0</v>
      </c>
      <c r="AG106" s="4">
        <v>0.04</v>
      </c>
      <c r="AH106" s="5">
        <v>371429</v>
      </c>
      <c r="AI106" s="4">
        <v>266.61</v>
      </c>
      <c r="AJ106" s="4">
        <v>632.15</v>
      </c>
      <c r="AK106" s="6">
        <v>3300000</v>
      </c>
      <c r="AL106" s="4" t="s">
        <v>400</v>
      </c>
      <c r="AM106" s="4" t="s">
        <v>278</v>
      </c>
      <c r="AN106" s="4">
        <v>2</v>
      </c>
      <c r="AO106" s="4">
        <v>8.0000000000000007E-5</v>
      </c>
      <c r="AP106" s="4">
        <v>1.9000000000000001E-4</v>
      </c>
    </row>
    <row r="107" spans="1:42" x14ac:dyDescent="0.25">
      <c r="A107" s="4" t="s">
        <v>405</v>
      </c>
      <c r="B107" s="4" t="s">
        <v>232</v>
      </c>
      <c r="C107" s="4">
        <v>18</v>
      </c>
      <c r="D107" s="4">
        <v>5</v>
      </c>
      <c r="E107" s="4">
        <v>2005</v>
      </c>
      <c r="F107" s="4">
        <v>3</v>
      </c>
      <c r="G107" s="4">
        <v>3.64</v>
      </c>
      <c r="H107" s="4">
        <v>3.36</v>
      </c>
      <c r="I107" s="4">
        <v>3.36</v>
      </c>
      <c r="J107" s="4">
        <v>3.45</v>
      </c>
      <c r="K107" s="4">
        <v>3.73</v>
      </c>
      <c r="L107" s="4">
        <v>4.3600000000000003</v>
      </c>
      <c r="M107" s="4">
        <v>4.55</v>
      </c>
      <c r="N107" s="9">
        <f t="shared" si="10"/>
        <v>3.4833333333333329</v>
      </c>
      <c r="O107" s="9">
        <f t="shared" si="11"/>
        <v>2.2133333333333334</v>
      </c>
      <c r="P107" s="9">
        <f t="shared" si="12"/>
        <v>2.4500000000000002</v>
      </c>
      <c r="Q107" s="10">
        <v>1</v>
      </c>
      <c r="R107" s="10">
        <v>1</v>
      </c>
      <c r="S107" s="4">
        <v>0.04</v>
      </c>
      <c r="T107" s="4">
        <v>1.72</v>
      </c>
      <c r="U107" s="8">
        <f>SUM(S107:T107)</f>
        <v>1.76</v>
      </c>
      <c r="V107" s="4">
        <v>0.89</v>
      </c>
      <c r="X107" s="4">
        <v>0</v>
      </c>
      <c r="Y107" s="4">
        <v>12</v>
      </c>
      <c r="Z107" s="4">
        <v>18</v>
      </c>
      <c r="AA107" s="4">
        <v>26.71</v>
      </c>
      <c r="AB107" s="4">
        <v>0.177617</v>
      </c>
      <c r="AC107" s="4">
        <v>0</v>
      </c>
      <c r="AD107" s="4">
        <v>0</v>
      </c>
      <c r="AE107" s="5">
        <v>649493</v>
      </c>
      <c r="AF107" s="4">
        <v>0</v>
      </c>
      <c r="AG107" s="4">
        <v>0.04</v>
      </c>
      <c r="AH107" s="5">
        <v>371429</v>
      </c>
      <c r="AI107" s="4">
        <v>430</v>
      </c>
      <c r="AJ107" s="4">
        <v>1045.05</v>
      </c>
      <c r="AK107" s="6">
        <v>3300000</v>
      </c>
      <c r="AL107" s="4" t="s">
        <v>406</v>
      </c>
      <c r="AM107" s="4" t="s">
        <v>285</v>
      </c>
      <c r="AN107" s="4">
        <v>1</v>
      </c>
      <c r="AO107" s="4">
        <v>1.2899999999999999E-4</v>
      </c>
      <c r="AP107" s="4">
        <v>3.1399999999999999E-4</v>
      </c>
    </row>
    <row r="108" spans="1:42" x14ac:dyDescent="0.25">
      <c r="A108" s="4" t="s">
        <v>407</v>
      </c>
      <c r="B108" s="4" t="s">
        <v>232</v>
      </c>
      <c r="C108" s="4">
        <v>18</v>
      </c>
      <c r="D108" s="4">
        <v>6</v>
      </c>
      <c r="E108" s="4">
        <v>2010</v>
      </c>
      <c r="F108" s="4">
        <v>2.5</v>
      </c>
      <c r="G108" s="4">
        <v>3.18</v>
      </c>
      <c r="H108" s="4">
        <v>2.36</v>
      </c>
      <c r="I108" s="4">
        <v>2.91</v>
      </c>
      <c r="J108" s="4">
        <v>2.36</v>
      </c>
      <c r="K108" s="4">
        <v>3.36</v>
      </c>
      <c r="L108" s="4">
        <v>3.91</v>
      </c>
      <c r="M108" s="4">
        <v>4.09</v>
      </c>
      <c r="N108" s="9">
        <f t="shared" si="10"/>
        <v>2.6333333333333333</v>
      </c>
      <c r="O108" s="9">
        <f t="shared" si="11"/>
        <v>0.84999999999999964</v>
      </c>
      <c r="P108" s="9">
        <f t="shared" si="12"/>
        <v>0.5</v>
      </c>
      <c r="Q108" s="10">
        <v>1</v>
      </c>
      <c r="R108" s="10">
        <v>1</v>
      </c>
      <c r="S108" s="4">
        <v>0.04</v>
      </c>
      <c r="T108" s="4">
        <v>2.19</v>
      </c>
      <c r="U108" s="8">
        <f t="shared" ref="U108:U110" si="17">SUM(S108:T108)</f>
        <v>2.23</v>
      </c>
      <c r="V108" s="4">
        <v>0.91</v>
      </c>
      <c r="X108" s="4">
        <v>0</v>
      </c>
      <c r="Y108" s="4">
        <v>12</v>
      </c>
      <c r="Z108" s="4">
        <v>18</v>
      </c>
      <c r="AA108" s="4">
        <v>8.23</v>
      </c>
      <c r="AB108" s="4">
        <v>0.177617</v>
      </c>
      <c r="AC108" s="4">
        <v>0</v>
      </c>
      <c r="AD108" s="4">
        <v>0</v>
      </c>
      <c r="AE108" s="5">
        <v>476493</v>
      </c>
      <c r="AF108" s="4">
        <v>0</v>
      </c>
      <c r="AG108" s="4">
        <v>0.04</v>
      </c>
      <c r="AH108" s="5">
        <v>371429</v>
      </c>
      <c r="AI108" s="4">
        <v>1897.81</v>
      </c>
      <c r="AJ108" s="4">
        <v>1073.1400000000001</v>
      </c>
      <c r="AK108" s="6">
        <v>3400000</v>
      </c>
      <c r="AL108" s="4" t="s">
        <v>406</v>
      </c>
      <c r="AM108" s="4" t="s">
        <v>285</v>
      </c>
      <c r="AN108" s="4">
        <v>1</v>
      </c>
      <c r="AO108" s="4">
        <v>5.62E-4</v>
      </c>
      <c r="AP108" s="4">
        <v>3.1799999999999998E-4</v>
      </c>
    </row>
    <row r="109" spans="1:42" x14ac:dyDescent="0.25">
      <c r="A109" s="4" t="s">
        <v>449</v>
      </c>
      <c r="B109" s="4" t="s">
        <v>232</v>
      </c>
      <c r="C109" s="4">
        <v>18</v>
      </c>
      <c r="D109" s="4">
        <v>7</v>
      </c>
      <c r="E109" s="4">
        <v>2015</v>
      </c>
      <c r="F109" s="4">
        <v>2.83</v>
      </c>
      <c r="G109" s="4">
        <v>4.16</v>
      </c>
      <c r="H109" s="4">
        <v>3.66</v>
      </c>
      <c r="I109" s="4">
        <v>3.66</v>
      </c>
      <c r="J109" s="4">
        <v>3.16</v>
      </c>
      <c r="K109" s="4">
        <v>4</v>
      </c>
      <c r="L109" s="4">
        <v>4.66</v>
      </c>
      <c r="M109" s="4">
        <v>4.5</v>
      </c>
      <c r="N109" s="9">
        <f t="shared" si="10"/>
        <v>3.66</v>
      </c>
      <c r="O109" s="9">
        <f t="shared" si="11"/>
        <v>1.0266666666666668</v>
      </c>
      <c r="P109" s="9">
        <f t="shared" si="12"/>
        <v>0.33000000000000007</v>
      </c>
      <c r="Q109" s="10">
        <v>1</v>
      </c>
      <c r="R109" s="10">
        <v>1</v>
      </c>
      <c r="S109" s="4">
        <v>0.05</v>
      </c>
      <c r="T109" s="4">
        <v>2.39</v>
      </c>
      <c r="U109" s="8">
        <f t="shared" si="17"/>
        <v>2.44</v>
      </c>
      <c r="V109" s="4">
        <v>0.89</v>
      </c>
      <c r="AE109" s="5"/>
      <c r="AH109" s="5"/>
      <c r="AK109" s="6"/>
    </row>
    <row r="110" spans="1:42" x14ac:dyDescent="0.25">
      <c r="A110" s="4" t="s">
        <v>450</v>
      </c>
      <c r="B110" s="4" t="s">
        <v>232</v>
      </c>
      <c r="C110" s="4">
        <v>18</v>
      </c>
      <c r="D110" s="4">
        <v>8</v>
      </c>
      <c r="E110" s="4">
        <v>2020</v>
      </c>
      <c r="F110" s="4">
        <v>5.83</v>
      </c>
      <c r="G110" s="4">
        <v>6.5</v>
      </c>
      <c r="H110" s="4">
        <v>6.5</v>
      </c>
      <c r="I110" s="4">
        <v>2.83</v>
      </c>
      <c r="J110" s="4">
        <v>6.33</v>
      </c>
      <c r="K110" s="4">
        <v>4</v>
      </c>
      <c r="L110" s="4">
        <v>5</v>
      </c>
      <c r="M110" s="4">
        <v>5</v>
      </c>
      <c r="N110" s="9">
        <f t="shared" si="10"/>
        <v>6.4433333333333325</v>
      </c>
      <c r="O110" s="9">
        <f t="shared" si="11"/>
        <v>2.7833333333333323</v>
      </c>
      <c r="P110" s="9">
        <f t="shared" si="12"/>
        <v>3</v>
      </c>
      <c r="Q110" s="4">
        <v>1</v>
      </c>
      <c r="R110" s="4">
        <v>1</v>
      </c>
      <c r="S110" s="4">
        <v>0.31</v>
      </c>
      <c r="T110" s="4">
        <v>2.3199999999999998</v>
      </c>
      <c r="U110" s="8">
        <f t="shared" si="17"/>
        <v>2.63</v>
      </c>
      <c r="V110" s="4">
        <v>0.85</v>
      </c>
      <c r="AE110" s="5"/>
      <c r="AH110" s="5"/>
      <c r="AK110" s="6"/>
    </row>
    <row r="111" spans="1:42" x14ac:dyDescent="0.25">
      <c r="A111" s="4" t="s">
        <v>408</v>
      </c>
      <c r="B111" s="4" t="s">
        <v>233</v>
      </c>
      <c r="C111" s="4">
        <v>19</v>
      </c>
      <c r="D111" s="4">
        <v>1</v>
      </c>
      <c r="E111" s="4">
        <v>1979</v>
      </c>
      <c r="F111" s="4">
        <v>4.25</v>
      </c>
      <c r="G111" s="4">
        <v>3.88</v>
      </c>
      <c r="H111" s="4">
        <v>3.88</v>
      </c>
      <c r="I111" s="4">
        <v>4.25</v>
      </c>
      <c r="J111" s="4">
        <v>4.88</v>
      </c>
      <c r="K111" s="4">
        <v>4</v>
      </c>
      <c r="L111" s="4">
        <v>3.63</v>
      </c>
      <c r="M111" s="4">
        <v>3.63</v>
      </c>
      <c r="N111" s="9">
        <f t="shared" si="10"/>
        <v>4.2133333333333338</v>
      </c>
      <c r="O111" s="9"/>
      <c r="P111" s="9"/>
      <c r="X111" s="4">
        <v>0</v>
      </c>
      <c r="Y111" s="4">
        <v>11</v>
      </c>
      <c r="Z111" s="4">
        <v>12</v>
      </c>
      <c r="AA111" s="4">
        <v>17.399999999999999</v>
      </c>
      <c r="AB111" s="4">
        <v>0.214833</v>
      </c>
      <c r="AC111" s="4">
        <v>0</v>
      </c>
      <c r="AD111" s="4">
        <v>0</v>
      </c>
      <c r="AE111" s="5">
        <v>-253309</v>
      </c>
      <c r="AF111" s="4">
        <v>0</v>
      </c>
      <c r="AG111" s="4">
        <v>0.61</v>
      </c>
      <c r="AH111" s="5">
        <v>204545</v>
      </c>
      <c r="AI111" s="4">
        <v>33.1</v>
      </c>
      <c r="AJ111" s="4">
        <v>10376.6</v>
      </c>
      <c r="AK111" s="6">
        <v>15000000</v>
      </c>
      <c r="AL111" s="4" t="s">
        <v>409</v>
      </c>
      <c r="AM111" s="4" t="s">
        <v>281</v>
      </c>
      <c r="AN111" s="4">
        <v>3</v>
      </c>
      <c r="AO111" s="6">
        <v>2.2000000000000001E-6</v>
      </c>
      <c r="AP111" s="4">
        <v>6.9499999999999998E-4</v>
      </c>
    </row>
    <row r="112" spans="1:42" x14ac:dyDescent="0.25">
      <c r="A112" s="4" t="s">
        <v>410</v>
      </c>
      <c r="B112" s="4" t="s">
        <v>233</v>
      </c>
      <c r="C112" s="4">
        <v>19</v>
      </c>
      <c r="D112" s="4">
        <v>2</v>
      </c>
      <c r="E112" s="4">
        <v>1984</v>
      </c>
      <c r="F112" s="4">
        <v>3.88</v>
      </c>
      <c r="G112" s="4">
        <v>3.63</v>
      </c>
      <c r="H112" s="4">
        <v>3.88</v>
      </c>
      <c r="I112" s="4">
        <v>4.38</v>
      </c>
      <c r="J112" s="4">
        <v>4.75</v>
      </c>
      <c r="K112" s="4">
        <v>4</v>
      </c>
      <c r="L112" s="4">
        <v>3.38</v>
      </c>
      <c r="M112" s="4">
        <v>3.63</v>
      </c>
      <c r="N112" s="9">
        <f t="shared" si="10"/>
        <v>4.0866666666666669</v>
      </c>
      <c r="O112" s="9">
        <f t="shared" si="11"/>
        <v>0.12666666666666693</v>
      </c>
      <c r="P112" s="9">
        <f t="shared" si="12"/>
        <v>0.37000000000000011</v>
      </c>
      <c r="X112" s="4">
        <v>0</v>
      </c>
      <c r="Y112" s="4">
        <v>11</v>
      </c>
      <c r="Z112" s="4">
        <v>12</v>
      </c>
      <c r="AA112" s="4">
        <v>17.260000000000002</v>
      </c>
      <c r="AB112" s="4">
        <v>0.214833</v>
      </c>
      <c r="AC112" s="4">
        <v>0</v>
      </c>
      <c r="AD112" s="4">
        <v>0</v>
      </c>
      <c r="AE112" s="5">
        <v>-13689</v>
      </c>
      <c r="AF112" s="4">
        <v>0.125</v>
      </c>
      <c r="AG112" s="4">
        <v>0.61</v>
      </c>
      <c r="AH112" s="5">
        <v>204545</v>
      </c>
      <c r="AI112" s="4">
        <v>23</v>
      </c>
      <c r="AJ112" s="4">
        <v>10554.1</v>
      </c>
      <c r="AK112" s="6">
        <v>17000000</v>
      </c>
      <c r="AL112" s="4" t="s">
        <v>411</v>
      </c>
      <c r="AM112" s="4" t="s">
        <v>285</v>
      </c>
      <c r="AN112" s="4">
        <v>1</v>
      </c>
      <c r="AO112" s="6">
        <v>1.3E-6</v>
      </c>
      <c r="AP112" s="4">
        <v>6.1899999999999998E-4</v>
      </c>
    </row>
    <row r="113" spans="1:42" x14ac:dyDescent="0.25">
      <c r="A113" s="4" t="s">
        <v>412</v>
      </c>
      <c r="B113" s="4" t="s">
        <v>233</v>
      </c>
      <c r="C113" s="4">
        <v>19</v>
      </c>
      <c r="D113" s="4">
        <v>3</v>
      </c>
      <c r="E113" s="4">
        <v>1989</v>
      </c>
      <c r="F113" s="4">
        <v>4.75</v>
      </c>
      <c r="G113" s="4">
        <v>5.38</v>
      </c>
      <c r="H113" s="4">
        <v>4.63</v>
      </c>
      <c r="I113" s="4">
        <v>4.63</v>
      </c>
      <c r="J113" s="4">
        <v>5.13</v>
      </c>
      <c r="K113" s="4">
        <v>4.25</v>
      </c>
      <c r="L113" s="4">
        <v>4.88</v>
      </c>
      <c r="M113" s="4">
        <v>4.75</v>
      </c>
      <c r="N113" s="9">
        <f t="shared" si="10"/>
        <v>5.0466666666666669</v>
      </c>
      <c r="O113" s="9">
        <f t="shared" si="11"/>
        <v>0.96</v>
      </c>
      <c r="P113" s="9">
        <f t="shared" si="12"/>
        <v>0.87000000000000011</v>
      </c>
      <c r="X113" s="4">
        <v>0</v>
      </c>
      <c r="Y113" s="4">
        <v>9.5</v>
      </c>
      <c r="Z113" s="4">
        <v>12</v>
      </c>
      <c r="AA113" s="4">
        <v>15.14</v>
      </c>
      <c r="AB113" s="4">
        <v>0.214833</v>
      </c>
      <c r="AC113" s="4">
        <v>1</v>
      </c>
      <c r="AD113" s="4">
        <v>0</v>
      </c>
      <c r="AE113" s="5">
        <v>-107274</v>
      </c>
      <c r="AF113" s="4">
        <v>0.125</v>
      </c>
      <c r="AG113" s="4">
        <v>0.61</v>
      </c>
      <c r="AH113" s="5">
        <v>204545</v>
      </c>
      <c r="AI113" s="4">
        <v>20.28</v>
      </c>
      <c r="AJ113" s="4">
        <v>10558.1</v>
      </c>
      <c r="AK113" s="6">
        <v>19000000</v>
      </c>
      <c r="AL113" s="4" t="s">
        <v>411</v>
      </c>
      <c r="AM113" s="4" t="s">
        <v>281</v>
      </c>
      <c r="AN113" s="4">
        <v>3</v>
      </c>
      <c r="AO113" s="6">
        <v>9.9999999999999995E-7</v>
      </c>
      <c r="AP113" s="4">
        <v>5.4500000000000002E-4</v>
      </c>
    </row>
    <row r="114" spans="1:42" x14ac:dyDescent="0.25">
      <c r="A114" s="4" t="s">
        <v>413</v>
      </c>
      <c r="B114" s="4" t="s">
        <v>233</v>
      </c>
      <c r="C114" s="4">
        <v>19</v>
      </c>
      <c r="D114" s="4">
        <v>4</v>
      </c>
      <c r="E114" s="4">
        <v>1994</v>
      </c>
      <c r="F114" s="4">
        <v>4.13</v>
      </c>
      <c r="G114" s="4">
        <v>4.38</v>
      </c>
      <c r="H114" s="4">
        <v>4.38</v>
      </c>
      <c r="I114" s="4">
        <v>4.13</v>
      </c>
      <c r="J114" s="4">
        <v>4.75</v>
      </c>
      <c r="K114" s="4">
        <v>3.75</v>
      </c>
      <c r="L114" s="4">
        <v>3.5</v>
      </c>
      <c r="M114" s="4">
        <v>3.75</v>
      </c>
      <c r="N114" s="9">
        <f t="shared" si="10"/>
        <v>4.503333333333333</v>
      </c>
      <c r="O114" s="9">
        <f t="shared" si="11"/>
        <v>0.54333333333333389</v>
      </c>
      <c r="P114" s="9">
        <f t="shared" si="12"/>
        <v>0.62000000000000011</v>
      </c>
      <c r="X114" s="4">
        <v>1</v>
      </c>
      <c r="Y114" s="4">
        <v>8.6</v>
      </c>
      <c r="Z114" s="4">
        <v>12</v>
      </c>
      <c r="AA114" s="4">
        <v>37.369999999999997</v>
      </c>
      <c r="AB114" s="4">
        <v>0.214833</v>
      </c>
      <c r="AC114" s="4">
        <v>0</v>
      </c>
      <c r="AD114" s="4">
        <v>0</v>
      </c>
      <c r="AE114" s="5">
        <v>-443979</v>
      </c>
      <c r="AF114" s="4">
        <v>0.25</v>
      </c>
      <c r="AG114" s="4">
        <v>0.61</v>
      </c>
      <c r="AH114" s="5">
        <v>204545</v>
      </c>
      <c r="AI114" s="4">
        <v>34.58</v>
      </c>
      <c r="AJ114" s="4">
        <v>14622.8</v>
      </c>
      <c r="AK114" s="6">
        <v>22000000</v>
      </c>
      <c r="AL114" s="4" t="s">
        <v>414</v>
      </c>
      <c r="AM114" s="4" t="s">
        <v>278</v>
      </c>
      <c r="AN114" s="4">
        <v>2</v>
      </c>
      <c r="AO114" s="6">
        <v>1.5999999999999999E-6</v>
      </c>
      <c r="AP114" s="4">
        <v>6.7299999999999999E-4</v>
      </c>
    </row>
    <row r="115" spans="1:42" x14ac:dyDescent="0.25">
      <c r="A115" s="4" t="s">
        <v>415</v>
      </c>
      <c r="B115" s="4" t="s">
        <v>233</v>
      </c>
      <c r="C115" s="4">
        <v>19</v>
      </c>
      <c r="D115" s="4">
        <v>5</v>
      </c>
      <c r="E115" s="4">
        <v>1999</v>
      </c>
      <c r="F115" s="4">
        <v>2.13</v>
      </c>
      <c r="G115" s="4">
        <v>1.75</v>
      </c>
      <c r="H115" s="4">
        <v>1.88</v>
      </c>
      <c r="I115" s="4">
        <v>1.75</v>
      </c>
      <c r="J115" s="4">
        <v>1.88</v>
      </c>
      <c r="K115" s="4">
        <v>3.5</v>
      </c>
      <c r="L115" s="4">
        <v>4.88</v>
      </c>
      <c r="M115" s="4">
        <v>3.5</v>
      </c>
      <c r="N115" s="9">
        <f t="shared" si="10"/>
        <v>1.8366666666666667</v>
      </c>
      <c r="O115" s="9">
        <f t="shared" si="11"/>
        <v>2.6666666666666661</v>
      </c>
      <c r="P115" s="9">
        <f t="shared" si="12"/>
        <v>2</v>
      </c>
      <c r="X115" s="4">
        <v>0</v>
      </c>
      <c r="Y115" s="4">
        <v>6.25</v>
      </c>
      <c r="Z115" s="4">
        <v>17</v>
      </c>
      <c r="AA115" s="4">
        <v>44.95</v>
      </c>
      <c r="AB115" s="4">
        <v>0.214833</v>
      </c>
      <c r="AC115" s="4">
        <v>0</v>
      </c>
      <c r="AD115" s="4">
        <v>1</v>
      </c>
      <c r="AE115" s="5">
        <v>-77591</v>
      </c>
      <c r="AF115" s="4">
        <v>0.28571400000000002</v>
      </c>
      <c r="AG115" s="4">
        <v>0.86</v>
      </c>
      <c r="AH115" s="5">
        <v>204545</v>
      </c>
      <c r="AI115" s="4">
        <v>222.66</v>
      </c>
      <c r="AJ115" s="4">
        <v>17212</v>
      </c>
      <c r="AK115" s="6">
        <v>24000000</v>
      </c>
      <c r="AL115" s="4" t="s">
        <v>416</v>
      </c>
      <c r="AM115" s="4" t="s">
        <v>301</v>
      </c>
      <c r="AN115" s="4">
        <v>0</v>
      </c>
      <c r="AO115" s="6">
        <v>9.3000000000000007E-6</v>
      </c>
      <c r="AP115" s="4">
        <v>7.1599999999999995E-4</v>
      </c>
    </row>
    <row r="116" spans="1:42" x14ac:dyDescent="0.25">
      <c r="A116" s="4" t="s">
        <v>417</v>
      </c>
      <c r="B116" s="4" t="s">
        <v>233</v>
      </c>
      <c r="C116" s="4">
        <v>19</v>
      </c>
      <c r="D116" s="4">
        <v>6</v>
      </c>
      <c r="E116" s="4">
        <v>2003</v>
      </c>
      <c r="F116" s="4">
        <v>1.63</v>
      </c>
      <c r="G116" s="4">
        <v>1.75</v>
      </c>
      <c r="H116" s="4">
        <v>1.88</v>
      </c>
      <c r="I116" s="4">
        <v>1.63</v>
      </c>
      <c r="J116" s="4">
        <v>1.63</v>
      </c>
      <c r="K116" s="4">
        <v>3.5</v>
      </c>
      <c r="L116" s="4">
        <v>5</v>
      </c>
      <c r="M116" s="4">
        <v>3.5</v>
      </c>
      <c r="N116" s="9">
        <f t="shared" si="10"/>
        <v>1.7533333333333332</v>
      </c>
      <c r="O116" s="9">
        <f t="shared" si="11"/>
        <v>8.3333333333333481E-2</v>
      </c>
      <c r="P116" s="9">
        <f t="shared" si="12"/>
        <v>0.5</v>
      </c>
      <c r="Q116" s="4">
        <v>0</v>
      </c>
      <c r="R116" s="4">
        <v>0</v>
      </c>
      <c r="S116" s="4">
        <v>3.26</v>
      </c>
      <c r="T116" s="4">
        <v>3.83</v>
      </c>
      <c r="U116" s="8">
        <f>SUM(S116:T116)</f>
        <v>7.09</v>
      </c>
      <c r="V116" s="4">
        <v>0.46</v>
      </c>
      <c r="X116" s="4">
        <v>0</v>
      </c>
      <c r="Y116" s="4">
        <v>6.25</v>
      </c>
      <c r="Z116" s="4">
        <v>17</v>
      </c>
      <c r="AA116" s="4">
        <v>48.08</v>
      </c>
      <c r="AB116" s="4">
        <v>0.214833</v>
      </c>
      <c r="AC116" s="4">
        <v>0</v>
      </c>
      <c r="AD116" s="4">
        <v>0</v>
      </c>
      <c r="AE116" s="4">
        <v>-10.5</v>
      </c>
      <c r="AF116" s="4">
        <v>0.8</v>
      </c>
      <c r="AG116" s="4">
        <v>0.86</v>
      </c>
      <c r="AH116" s="5">
        <v>204545</v>
      </c>
      <c r="AI116" s="4">
        <v>832.07</v>
      </c>
      <c r="AJ116" s="4">
        <v>20841.5</v>
      </c>
      <c r="AK116" s="6">
        <v>26000000</v>
      </c>
      <c r="AL116" s="4" t="s">
        <v>416</v>
      </c>
      <c r="AM116" s="4" t="s">
        <v>301</v>
      </c>
      <c r="AN116" s="4">
        <v>0</v>
      </c>
      <c r="AO116" s="4">
        <v>3.1999999999999999E-5</v>
      </c>
      <c r="AP116" s="4">
        <v>8.0599999999999997E-4</v>
      </c>
    </row>
    <row r="117" spans="1:42" x14ac:dyDescent="0.25">
      <c r="A117" s="4" t="s">
        <v>418</v>
      </c>
      <c r="B117" s="4" t="s">
        <v>233</v>
      </c>
      <c r="C117" s="4">
        <v>19</v>
      </c>
      <c r="D117" s="4">
        <v>7</v>
      </c>
      <c r="E117" s="4">
        <v>2008</v>
      </c>
      <c r="F117" s="4">
        <v>1.25</v>
      </c>
      <c r="G117" s="4">
        <v>1.75</v>
      </c>
      <c r="H117" s="4">
        <v>1.5</v>
      </c>
      <c r="I117" s="4">
        <v>1.25</v>
      </c>
      <c r="J117" s="4">
        <v>1.5</v>
      </c>
      <c r="K117" s="4">
        <v>3.38</v>
      </c>
      <c r="L117" s="4">
        <v>5</v>
      </c>
      <c r="M117" s="4">
        <v>3.38</v>
      </c>
      <c r="N117" s="9">
        <f t="shared" si="10"/>
        <v>1.5833333333333333</v>
      </c>
      <c r="O117" s="9">
        <f t="shared" si="11"/>
        <v>0.16999999999999993</v>
      </c>
      <c r="P117" s="9">
        <f t="shared" si="12"/>
        <v>0.37999999999999989</v>
      </c>
      <c r="Q117" s="4">
        <v>0</v>
      </c>
      <c r="R117" s="4">
        <v>0</v>
      </c>
      <c r="S117" s="4">
        <v>3.61</v>
      </c>
      <c r="T117" s="4">
        <v>3.77</v>
      </c>
      <c r="U117" s="8">
        <f t="shared" ref="U117:U119" si="18">SUM(S117:T117)</f>
        <v>7.38</v>
      </c>
      <c r="V117" s="4">
        <v>0.42</v>
      </c>
      <c r="X117" s="4">
        <v>0</v>
      </c>
      <c r="Y117" s="4">
        <v>5</v>
      </c>
      <c r="Z117" s="4">
        <v>17</v>
      </c>
      <c r="AA117" s="4">
        <v>40.19</v>
      </c>
      <c r="AB117" s="4">
        <v>0.214833</v>
      </c>
      <c r="AC117" s="4">
        <v>0</v>
      </c>
      <c r="AD117" s="4">
        <v>0</v>
      </c>
      <c r="AE117" s="5">
        <v>30863</v>
      </c>
      <c r="AF117" s="4">
        <v>0.875</v>
      </c>
      <c r="AG117" s="4">
        <v>0.86</v>
      </c>
      <c r="AH117" s="5">
        <v>204545</v>
      </c>
      <c r="AI117" s="4">
        <v>10221</v>
      </c>
      <c r="AJ117" s="4">
        <v>65075.8</v>
      </c>
      <c r="AK117" s="6">
        <v>28000000</v>
      </c>
      <c r="AL117" s="4" t="s">
        <v>416</v>
      </c>
      <c r="AM117" s="4" t="s">
        <v>301</v>
      </c>
      <c r="AN117" s="4">
        <v>0</v>
      </c>
      <c r="AO117" s="4">
        <v>3.6400000000000001E-4</v>
      </c>
      <c r="AP117" s="4">
        <v>2.3140000000000001E-3</v>
      </c>
    </row>
    <row r="118" spans="1:42" x14ac:dyDescent="0.25">
      <c r="A118" s="4" t="s">
        <v>452</v>
      </c>
      <c r="B118" s="4" t="s">
        <v>233</v>
      </c>
      <c r="C118" s="4">
        <v>19</v>
      </c>
      <c r="D118" s="4">
        <v>8</v>
      </c>
      <c r="E118" s="4">
        <v>2013</v>
      </c>
      <c r="F118" s="4">
        <f>(1.38+3.5)/2</f>
        <v>2.44</v>
      </c>
      <c r="G118" s="4">
        <f>(1.75+3.5)/2</f>
        <v>2.625</v>
      </c>
      <c r="H118" s="4">
        <f>(1.5+3.5)/2</f>
        <v>2.5</v>
      </c>
      <c r="I118" s="4">
        <f>(1.13+3.5)/2</f>
        <v>2.3149999999999999</v>
      </c>
      <c r="J118" s="4">
        <v>1.5</v>
      </c>
      <c r="K118" s="4">
        <f>(3.5+3)/2</f>
        <v>3.25</v>
      </c>
      <c r="L118" s="4">
        <f>(4.25+4)/2</f>
        <v>4.125</v>
      </c>
      <c r="M118" s="4">
        <f>(2.63+4)/2</f>
        <v>3.3149999999999999</v>
      </c>
      <c r="N118" s="9">
        <f t="shared" si="10"/>
        <v>2.2083333333333335</v>
      </c>
      <c r="O118" s="9">
        <f t="shared" si="11"/>
        <v>0.62500000000000022</v>
      </c>
      <c r="P118" s="9">
        <f t="shared" si="12"/>
        <v>1.19</v>
      </c>
      <c r="Q118" s="4">
        <v>0</v>
      </c>
      <c r="R118" s="4">
        <v>1</v>
      </c>
      <c r="S118" s="4">
        <v>3.81</v>
      </c>
      <c r="T118" s="4">
        <v>3.87</v>
      </c>
      <c r="U118" s="8">
        <f t="shared" si="18"/>
        <v>7.68</v>
      </c>
      <c r="V118" s="4">
        <v>0.28999999999999998</v>
      </c>
      <c r="X118" s="4">
        <v>0</v>
      </c>
      <c r="Y118" s="4">
        <v>4.25</v>
      </c>
      <c r="Z118" s="4">
        <v>17</v>
      </c>
      <c r="AA118" s="4">
        <v>48.67</v>
      </c>
      <c r="AB118" s="4">
        <v>0.214833</v>
      </c>
      <c r="AC118" s="4">
        <v>0</v>
      </c>
      <c r="AD118" s="4">
        <v>0</v>
      </c>
      <c r="AE118" s="5">
        <v>-481724</v>
      </c>
      <c r="AF118" s="4">
        <v>0.875</v>
      </c>
      <c r="AG118" s="4">
        <v>0.86</v>
      </c>
      <c r="AH118" s="5">
        <v>204545</v>
      </c>
      <c r="AI118" s="4">
        <v>9221.0400000000009</v>
      </c>
      <c r="AJ118" s="4">
        <v>38841.800000000003</v>
      </c>
      <c r="AK118" s="6">
        <v>30000000</v>
      </c>
      <c r="AL118" s="4" t="s">
        <v>416</v>
      </c>
      <c r="AM118" s="4" t="s">
        <v>301</v>
      </c>
      <c r="AN118" s="4">
        <v>0</v>
      </c>
      <c r="AO118" s="4">
        <v>3.0899999999999998E-4</v>
      </c>
      <c r="AP118" s="4">
        <v>1.3010000000000001E-3</v>
      </c>
    </row>
    <row r="119" spans="1:42" x14ac:dyDescent="0.25">
      <c r="A119" s="4" t="s">
        <v>451</v>
      </c>
      <c r="B119" s="4" t="s">
        <v>233</v>
      </c>
      <c r="C119" s="4">
        <v>19</v>
      </c>
      <c r="D119" s="4">
        <v>9</v>
      </c>
      <c r="E119" s="4">
        <v>2019</v>
      </c>
      <c r="F119" s="4">
        <v>4.5</v>
      </c>
      <c r="G119" s="4">
        <v>3.5</v>
      </c>
      <c r="H119" s="4">
        <v>3</v>
      </c>
      <c r="I119" s="4">
        <v>4</v>
      </c>
      <c r="J119" s="4">
        <v>2.5</v>
      </c>
      <c r="K119" s="4">
        <v>3</v>
      </c>
      <c r="L119" s="4">
        <v>4.5</v>
      </c>
      <c r="M119" s="4">
        <v>4</v>
      </c>
      <c r="N119" s="9">
        <f t="shared" si="10"/>
        <v>3</v>
      </c>
      <c r="O119" s="9">
        <f t="shared" si="11"/>
        <v>0.79166666666666652</v>
      </c>
      <c r="P119" s="9">
        <f t="shared" si="12"/>
        <v>2.06</v>
      </c>
      <c r="Q119" s="4">
        <v>0</v>
      </c>
      <c r="R119" s="4">
        <v>0</v>
      </c>
      <c r="S119" s="4">
        <v>3.68</v>
      </c>
      <c r="T119" s="4">
        <v>3.81</v>
      </c>
      <c r="U119" s="8">
        <f t="shared" si="18"/>
        <v>7.49</v>
      </c>
      <c r="V119" s="4">
        <v>0.21</v>
      </c>
    </row>
  </sheetData>
  <autoFilter ref="A1:AP119" xr:uid="{BC78F934-DA87-4D99-8C7B-89476EB082E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8E9A4-B165-4B08-AD89-22F99946B66F}">
  <dimension ref="A1:K119"/>
  <sheetViews>
    <sheetView zoomScale="70" zoomScaleNormal="70" workbookViewId="0">
      <selection activeCell="H2" sqref="H2:H10"/>
    </sheetView>
  </sheetViews>
  <sheetFormatPr baseColWidth="10" defaultRowHeight="13.2" x14ac:dyDescent="0.25"/>
  <cols>
    <col min="10" max="10" width="28.109375" bestFit="1" customWidth="1"/>
    <col min="11" max="11" width="22.109375" bestFit="1" customWidth="1"/>
  </cols>
  <sheetData>
    <row r="1" spans="1:11" x14ac:dyDescent="0.25">
      <c r="A1" t="s">
        <v>245</v>
      </c>
      <c r="B1" t="s">
        <v>246</v>
      </c>
      <c r="C1" t="s">
        <v>271</v>
      </c>
      <c r="D1" t="s">
        <v>459</v>
      </c>
      <c r="E1" t="s">
        <v>460</v>
      </c>
    </row>
    <row r="2" spans="1:11" x14ac:dyDescent="0.25">
      <c r="A2" t="s">
        <v>453</v>
      </c>
      <c r="B2" t="s">
        <v>235</v>
      </c>
      <c r="C2">
        <v>1983</v>
      </c>
      <c r="D2" s="14"/>
      <c r="E2" s="14"/>
    </row>
    <row r="3" spans="1:11" x14ac:dyDescent="0.25">
      <c r="A3" t="s">
        <v>279</v>
      </c>
      <c r="B3" t="s">
        <v>235</v>
      </c>
      <c r="C3">
        <v>1989</v>
      </c>
      <c r="D3" s="14">
        <v>2.7866666666666666</v>
      </c>
      <c r="E3" s="14">
        <v>2.4999999999999996</v>
      </c>
    </row>
    <row r="4" spans="1:11" x14ac:dyDescent="0.25">
      <c r="A4" t="s">
        <v>282</v>
      </c>
      <c r="B4" t="s">
        <v>235</v>
      </c>
      <c r="C4">
        <v>1994</v>
      </c>
      <c r="D4" s="14">
        <v>3.3333333333334103E-2</v>
      </c>
      <c r="E4" s="14">
        <v>0.20000000000000018</v>
      </c>
      <c r="J4" s="15" t="s">
        <v>472</v>
      </c>
      <c r="K4" s="15" t="s">
        <v>473</v>
      </c>
    </row>
    <row r="5" spans="1:11" x14ac:dyDescent="0.25">
      <c r="A5" t="s">
        <v>283</v>
      </c>
      <c r="B5" t="s">
        <v>235</v>
      </c>
      <c r="C5">
        <v>1999</v>
      </c>
      <c r="D5" s="14">
        <v>0.20000000000000107</v>
      </c>
      <c r="E5" s="14">
        <v>0.39999999999999947</v>
      </c>
      <c r="I5" t="s">
        <v>463</v>
      </c>
      <c r="J5">
        <v>1.1399999999999999</v>
      </c>
      <c r="K5">
        <v>1.19</v>
      </c>
    </row>
    <row r="6" spans="1:11" x14ac:dyDescent="0.25">
      <c r="A6" t="s">
        <v>284</v>
      </c>
      <c r="B6" t="s">
        <v>235</v>
      </c>
      <c r="C6">
        <v>2001</v>
      </c>
      <c r="D6" s="14">
        <v>1.6899999999999995</v>
      </c>
      <c r="E6" s="14">
        <v>1.3000000000000007</v>
      </c>
      <c r="I6" t="s">
        <v>464</v>
      </c>
      <c r="J6">
        <v>1.59</v>
      </c>
      <c r="K6">
        <v>1.45</v>
      </c>
    </row>
    <row r="7" spans="1:11" x14ac:dyDescent="0.25">
      <c r="A7" t="s">
        <v>286</v>
      </c>
      <c r="B7" t="s">
        <v>235</v>
      </c>
      <c r="C7">
        <v>2002</v>
      </c>
      <c r="D7" s="14">
        <v>1.5766666666666667</v>
      </c>
      <c r="E7" s="14">
        <v>1.7999999999999998</v>
      </c>
      <c r="I7" t="s">
        <v>465</v>
      </c>
      <c r="J7">
        <v>0.54</v>
      </c>
      <c r="K7">
        <v>0.68</v>
      </c>
    </row>
    <row r="8" spans="1:11" x14ac:dyDescent="0.25">
      <c r="A8" t="s">
        <v>287</v>
      </c>
      <c r="B8" t="s">
        <v>235</v>
      </c>
      <c r="C8">
        <v>2006</v>
      </c>
      <c r="D8" s="14">
        <v>0.5</v>
      </c>
      <c r="E8" s="14">
        <v>0.29999999999999982</v>
      </c>
      <c r="I8" t="s">
        <v>466</v>
      </c>
      <c r="J8">
        <v>0.75</v>
      </c>
      <c r="K8" s="14">
        <v>0.8</v>
      </c>
    </row>
    <row r="9" spans="1:11" x14ac:dyDescent="0.25">
      <c r="A9" t="s">
        <v>288</v>
      </c>
      <c r="B9" t="s">
        <v>235</v>
      </c>
      <c r="C9">
        <v>2011</v>
      </c>
      <c r="D9" s="14">
        <v>0.26666666666666683</v>
      </c>
      <c r="E9" s="14">
        <v>0.60000000000000009</v>
      </c>
      <c r="I9" t="s">
        <v>467</v>
      </c>
      <c r="J9">
        <v>1.03</v>
      </c>
      <c r="K9">
        <v>1.18</v>
      </c>
    </row>
    <row r="10" spans="1:11" x14ac:dyDescent="0.25">
      <c r="A10" t="s">
        <v>243</v>
      </c>
      <c r="B10" t="s">
        <v>235</v>
      </c>
      <c r="C10">
        <v>2015</v>
      </c>
      <c r="D10" s="14">
        <v>4.1333333333333337</v>
      </c>
      <c r="E10" s="14">
        <v>4.4000000000000004</v>
      </c>
      <c r="I10" t="s">
        <v>468</v>
      </c>
      <c r="J10">
        <v>0.49</v>
      </c>
      <c r="K10">
        <v>1.02</v>
      </c>
    </row>
    <row r="11" spans="1:11" x14ac:dyDescent="0.25">
      <c r="A11" t="s">
        <v>244</v>
      </c>
      <c r="B11" t="s">
        <v>235</v>
      </c>
      <c r="C11">
        <v>2020</v>
      </c>
      <c r="D11" s="14">
        <v>3.1</v>
      </c>
      <c r="E11" s="14">
        <v>3.3</v>
      </c>
      <c r="I11" t="s">
        <v>469</v>
      </c>
      <c r="J11">
        <v>1.35</v>
      </c>
      <c r="K11">
        <v>1.73</v>
      </c>
    </row>
    <row r="12" spans="1:11" x14ac:dyDescent="0.25">
      <c r="A12" t="s">
        <v>289</v>
      </c>
      <c r="B12" t="s">
        <v>238</v>
      </c>
      <c r="C12">
        <v>1982</v>
      </c>
      <c r="D12" s="14"/>
      <c r="E12" s="14"/>
      <c r="I12" t="s">
        <v>470</v>
      </c>
      <c r="J12">
        <v>1.66</v>
      </c>
      <c r="K12">
        <v>1.77</v>
      </c>
    </row>
    <row r="13" spans="1:11" x14ac:dyDescent="0.25">
      <c r="A13" t="s">
        <v>291</v>
      </c>
      <c r="B13" t="s">
        <v>238</v>
      </c>
      <c r="C13">
        <v>1985</v>
      </c>
      <c r="D13" s="14">
        <v>2.4</v>
      </c>
      <c r="E13" s="14">
        <v>2.9</v>
      </c>
    </row>
    <row r="14" spans="1:11" x14ac:dyDescent="0.25">
      <c r="A14" t="s">
        <v>293</v>
      </c>
      <c r="B14" t="s">
        <v>238</v>
      </c>
      <c r="C14">
        <v>1989</v>
      </c>
      <c r="D14" s="14">
        <v>0.40000000000000036</v>
      </c>
      <c r="E14" s="14">
        <v>1</v>
      </c>
    </row>
    <row r="15" spans="1:11" x14ac:dyDescent="0.25">
      <c r="A15" t="s">
        <v>294</v>
      </c>
      <c r="B15" t="s">
        <v>238</v>
      </c>
      <c r="C15">
        <v>1993</v>
      </c>
      <c r="D15" s="14">
        <v>1</v>
      </c>
      <c r="E15" s="14">
        <v>1.1000000000000005</v>
      </c>
    </row>
    <row r="16" spans="1:11" x14ac:dyDescent="0.25">
      <c r="A16" t="s">
        <v>297</v>
      </c>
      <c r="B16" t="s">
        <v>238</v>
      </c>
      <c r="C16">
        <v>1997</v>
      </c>
      <c r="D16" s="14">
        <v>6.666666666666643E-2</v>
      </c>
      <c r="E16" s="14">
        <v>0.59999999999999964</v>
      </c>
    </row>
    <row r="17" spans="1:5" x14ac:dyDescent="0.25">
      <c r="A17" t="s">
        <v>299</v>
      </c>
      <c r="B17" t="s">
        <v>238</v>
      </c>
      <c r="C17">
        <v>2003</v>
      </c>
      <c r="D17" s="14">
        <v>1.3666666666666654</v>
      </c>
      <c r="E17" s="14">
        <v>2</v>
      </c>
    </row>
    <row r="18" spans="1:5" x14ac:dyDescent="0.25">
      <c r="A18" t="s">
        <v>302</v>
      </c>
      <c r="B18" t="s">
        <v>238</v>
      </c>
      <c r="C18">
        <v>2006</v>
      </c>
      <c r="D18" s="14">
        <v>3.0333333333333337</v>
      </c>
      <c r="E18" s="14">
        <v>2.2999999999999998</v>
      </c>
    </row>
    <row r="19" spans="1:5" x14ac:dyDescent="0.25">
      <c r="A19" t="s">
        <v>303</v>
      </c>
      <c r="B19" t="s">
        <v>238</v>
      </c>
      <c r="C19">
        <v>2010</v>
      </c>
      <c r="D19" s="14">
        <v>0.43333333333333357</v>
      </c>
      <c r="E19" s="14">
        <v>0.69999999999999973</v>
      </c>
    </row>
    <row r="20" spans="1:5" x14ac:dyDescent="0.25">
      <c r="A20" t="s">
        <v>425</v>
      </c>
      <c r="B20" t="s">
        <v>238</v>
      </c>
      <c r="C20">
        <v>2015</v>
      </c>
      <c r="D20" s="14">
        <v>0.16666666666666607</v>
      </c>
      <c r="E20" s="14">
        <v>1.1000000000000001</v>
      </c>
    </row>
    <row r="21" spans="1:5" x14ac:dyDescent="0.25">
      <c r="A21" t="s">
        <v>426</v>
      </c>
      <c r="B21" t="s">
        <v>238</v>
      </c>
      <c r="C21">
        <v>2019</v>
      </c>
      <c r="D21" s="14">
        <v>4.3333333333333339</v>
      </c>
      <c r="E21" s="14">
        <v>3</v>
      </c>
    </row>
    <row r="22" spans="1:5" x14ac:dyDescent="0.25">
      <c r="A22" t="s">
        <v>427</v>
      </c>
      <c r="B22" t="s">
        <v>238</v>
      </c>
      <c r="C22">
        <v>2020</v>
      </c>
      <c r="D22" s="14">
        <v>3.6666666666666665</v>
      </c>
      <c r="E22" s="14">
        <v>2</v>
      </c>
    </row>
    <row r="23" spans="1:5" x14ac:dyDescent="0.25">
      <c r="A23" t="s">
        <v>304</v>
      </c>
      <c r="B23" t="s">
        <v>217</v>
      </c>
      <c r="C23">
        <v>1985</v>
      </c>
      <c r="D23" s="14"/>
      <c r="E23" s="14"/>
    </row>
    <row r="24" spans="1:5" x14ac:dyDescent="0.25">
      <c r="A24" t="s">
        <v>306</v>
      </c>
      <c r="B24" t="s">
        <v>217</v>
      </c>
      <c r="C24">
        <v>1990</v>
      </c>
      <c r="D24" s="14">
        <v>1.9233333333333342</v>
      </c>
      <c r="E24" s="14">
        <v>0.55999999999999961</v>
      </c>
    </row>
    <row r="25" spans="1:5" x14ac:dyDescent="0.25">
      <c r="A25" t="s">
        <v>308</v>
      </c>
      <c r="B25" t="s">
        <v>217</v>
      </c>
      <c r="C25">
        <v>1992</v>
      </c>
      <c r="D25" s="14">
        <v>1.2200000000000006</v>
      </c>
      <c r="E25" s="14">
        <v>1.2299999999999995</v>
      </c>
    </row>
    <row r="26" spans="1:5" x14ac:dyDescent="0.25">
      <c r="A26" t="s">
        <v>310</v>
      </c>
      <c r="B26" t="s">
        <v>217</v>
      </c>
      <c r="C26">
        <v>1995</v>
      </c>
      <c r="D26" s="14">
        <v>0.25999999999999979</v>
      </c>
      <c r="E26" s="14">
        <v>0.33999999999999986</v>
      </c>
    </row>
    <row r="27" spans="1:5" x14ac:dyDescent="0.25">
      <c r="A27" t="s">
        <v>311</v>
      </c>
      <c r="B27" t="s">
        <v>217</v>
      </c>
      <c r="C27">
        <v>1999</v>
      </c>
      <c r="D27" s="14">
        <v>0.1133333333333324</v>
      </c>
      <c r="E27" s="14">
        <v>0</v>
      </c>
    </row>
    <row r="28" spans="1:5" x14ac:dyDescent="0.25">
      <c r="A28" t="s">
        <v>313</v>
      </c>
      <c r="B28" t="s">
        <v>217</v>
      </c>
      <c r="C28">
        <v>2003</v>
      </c>
      <c r="D28" s="14">
        <v>2.3333333333333339</v>
      </c>
      <c r="E28" s="14">
        <v>2.3400000000000003</v>
      </c>
    </row>
    <row r="29" spans="1:5" x14ac:dyDescent="0.25">
      <c r="A29" t="s">
        <v>314</v>
      </c>
      <c r="B29" t="s">
        <v>217</v>
      </c>
      <c r="C29">
        <v>2007</v>
      </c>
      <c r="D29" s="14">
        <v>3.6666666666666625E-2</v>
      </c>
      <c r="E29" s="14">
        <v>0.12000000000000011</v>
      </c>
    </row>
    <row r="30" spans="1:5" x14ac:dyDescent="0.25">
      <c r="A30" t="s">
        <v>429</v>
      </c>
      <c r="B30" t="s">
        <v>217</v>
      </c>
      <c r="C30">
        <v>2011</v>
      </c>
      <c r="D30" s="14">
        <v>0.44333333333333336</v>
      </c>
      <c r="E30" s="14">
        <v>0.43999999999999995</v>
      </c>
    </row>
    <row r="31" spans="1:5" x14ac:dyDescent="0.25">
      <c r="A31" t="s">
        <v>428</v>
      </c>
      <c r="B31" t="s">
        <v>217</v>
      </c>
      <c r="C31">
        <v>2015</v>
      </c>
      <c r="D31" s="14">
        <v>1.9999999999999574E-2</v>
      </c>
      <c r="E31" s="14">
        <v>0.39999999999999991</v>
      </c>
    </row>
    <row r="32" spans="1:5" x14ac:dyDescent="0.25">
      <c r="A32" t="s">
        <v>430</v>
      </c>
      <c r="B32" t="s">
        <v>217</v>
      </c>
      <c r="C32">
        <v>2016</v>
      </c>
      <c r="D32" s="14">
        <v>1.8733333333333335</v>
      </c>
      <c r="E32" s="14">
        <v>2.4999999999999996</v>
      </c>
    </row>
    <row r="33" spans="1:5" x14ac:dyDescent="0.25">
      <c r="A33" t="s">
        <v>431</v>
      </c>
      <c r="B33" t="s">
        <v>217</v>
      </c>
      <c r="C33">
        <v>2019</v>
      </c>
      <c r="D33" s="14">
        <v>1.1033333333333326</v>
      </c>
      <c r="E33" s="14">
        <v>1.5</v>
      </c>
    </row>
    <row r="34" spans="1:5" x14ac:dyDescent="0.25">
      <c r="A34" t="s">
        <v>315</v>
      </c>
      <c r="B34" t="s">
        <v>229</v>
      </c>
      <c r="C34">
        <v>1990</v>
      </c>
      <c r="D34" s="14"/>
      <c r="E34" s="14"/>
    </row>
    <row r="35" spans="1:5" x14ac:dyDescent="0.25">
      <c r="A35" t="s">
        <v>317</v>
      </c>
      <c r="B35" t="s">
        <v>229</v>
      </c>
      <c r="C35">
        <v>1994</v>
      </c>
      <c r="D35" s="14">
        <v>0.37999999999999989</v>
      </c>
      <c r="E35" s="14">
        <v>0.13999999999999968</v>
      </c>
    </row>
    <row r="36" spans="1:5" x14ac:dyDescent="0.25">
      <c r="A36" t="s">
        <v>318</v>
      </c>
      <c r="B36" t="s">
        <v>229</v>
      </c>
      <c r="C36">
        <v>2000</v>
      </c>
      <c r="D36" s="14">
        <v>0.23666666666666636</v>
      </c>
      <c r="E36" s="14">
        <v>0.56999999999999984</v>
      </c>
    </row>
    <row r="37" spans="1:5" x14ac:dyDescent="0.25">
      <c r="A37" t="s">
        <v>320</v>
      </c>
      <c r="B37" t="s">
        <v>229</v>
      </c>
      <c r="C37">
        <v>2006</v>
      </c>
      <c r="D37" s="14">
        <v>0.28666666666666707</v>
      </c>
      <c r="E37" s="14">
        <v>0.71</v>
      </c>
    </row>
    <row r="38" spans="1:5" x14ac:dyDescent="0.25">
      <c r="A38" t="s">
        <v>436</v>
      </c>
      <c r="B38" t="s">
        <v>229</v>
      </c>
      <c r="C38">
        <v>2010</v>
      </c>
      <c r="D38" s="14">
        <v>1.0333333333333341</v>
      </c>
      <c r="E38" s="14">
        <v>2.8400000000000003</v>
      </c>
    </row>
    <row r="39" spans="1:5" x14ac:dyDescent="0.25">
      <c r="A39" t="s">
        <v>435</v>
      </c>
      <c r="B39" t="s">
        <v>229</v>
      </c>
      <c r="C39">
        <v>2014</v>
      </c>
      <c r="D39" s="14">
        <v>0.75000000000000089</v>
      </c>
      <c r="E39" s="14">
        <v>2.8000000000000003</v>
      </c>
    </row>
    <row r="40" spans="1:5" x14ac:dyDescent="0.25">
      <c r="A40" t="s">
        <v>437</v>
      </c>
      <c r="B40" t="s">
        <v>229</v>
      </c>
      <c r="C40">
        <v>2018</v>
      </c>
      <c r="D40" s="14">
        <v>1.4833333333333325</v>
      </c>
      <c r="E40" s="14">
        <v>2.9099999999999997</v>
      </c>
    </row>
    <row r="41" spans="1:5" x14ac:dyDescent="0.25">
      <c r="A41" t="s">
        <v>321</v>
      </c>
      <c r="B41" t="s">
        <v>241</v>
      </c>
      <c r="C41">
        <v>1974</v>
      </c>
      <c r="D41" s="14"/>
      <c r="E41" s="14"/>
    </row>
    <row r="42" spans="1:5" x14ac:dyDescent="0.25">
      <c r="A42" t="s">
        <v>323</v>
      </c>
      <c r="B42" t="s">
        <v>241</v>
      </c>
      <c r="C42">
        <v>1978</v>
      </c>
      <c r="D42" s="14">
        <v>1.8566666666666665</v>
      </c>
      <c r="E42" s="14">
        <v>2.7199999999999998</v>
      </c>
    </row>
    <row r="43" spans="1:5" x14ac:dyDescent="0.25">
      <c r="A43" t="s">
        <v>325</v>
      </c>
      <c r="B43" t="s">
        <v>241</v>
      </c>
      <c r="C43">
        <v>1982</v>
      </c>
      <c r="D43" s="14">
        <v>1.1933333333333334</v>
      </c>
      <c r="E43" s="14">
        <v>1.8599999999999994</v>
      </c>
    </row>
    <row r="44" spans="1:5" x14ac:dyDescent="0.25">
      <c r="A44" t="s">
        <v>326</v>
      </c>
      <c r="B44" t="s">
        <v>241</v>
      </c>
      <c r="C44">
        <v>1986</v>
      </c>
      <c r="D44" s="14">
        <v>1.1466666666666665</v>
      </c>
      <c r="E44" s="14">
        <v>0.29000000000000004</v>
      </c>
    </row>
    <row r="45" spans="1:5" x14ac:dyDescent="0.25">
      <c r="A45" t="s">
        <v>327</v>
      </c>
      <c r="B45" t="s">
        <v>241</v>
      </c>
      <c r="C45">
        <v>1990</v>
      </c>
      <c r="D45" s="14">
        <v>0.95000000000000107</v>
      </c>
      <c r="E45" s="14">
        <v>0.5699999999999994</v>
      </c>
    </row>
    <row r="46" spans="1:5" x14ac:dyDescent="0.25">
      <c r="A46" t="s">
        <v>328</v>
      </c>
      <c r="B46" t="s">
        <v>241</v>
      </c>
      <c r="C46">
        <v>1994</v>
      </c>
      <c r="D46" s="14">
        <v>2.2366666666666672</v>
      </c>
      <c r="E46" s="14">
        <v>1.29</v>
      </c>
    </row>
    <row r="47" spans="1:5" x14ac:dyDescent="0.25">
      <c r="A47" t="s">
        <v>329</v>
      </c>
      <c r="B47" t="s">
        <v>241</v>
      </c>
      <c r="C47">
        <v>1998</v>
      </c>
      <c r="D47" s="14">
        <v>2.2866666666666662</v>
      </c>
      <c r="E47" s="14">
        <v>1.8600000000000003</v>
      </c>
    </row>
    <row r="48" spans="1:5" x14ac:dyDescent="0.25">
      <c r="A48" t="s">
        <v>330</v>
      </c>
      <c r="B48" t="s">
        <v>241</v>
      </c>
      <c r="C48">
        <v>2002</v>
      </c>
      <c r="D48" s="14">
        <v>0.42333333333333378</v>
      </c>
      <c r="E48" s="14">
        <v>0.86000000000000032</v>
      </c>
    </row>
    <row r="49" spans="1:5" x14ac:dyDescent="0.25">
      <c r="A49" t="s">
        <v>332</v>
      </c>
      <c r="B49" t="s">
        <v>241</v>
      </c>
      <c r="C49">
        <v>2006</v>
      </c>
      <c r="D49" s="14">
        <v>0</v>
      </c>
      <c r="E49" s="14">
        <v>0</v>
      </c>
    </row>
    <row r="50" spans="1:5" x14ac:dyDescent="0.25">
      <c r="A50" t="s">
        <v>438</v>
      </c>
      <c r="B50" t="s">
        <v>241</v>
      </c>
      <c r="C50">
        <v>2010</v>
      </c>
      <c r="D50" s="14">
        <v>0.42666666666666586</v>
      </c>
      <c r="E50" s="14">
        <v>2.29</v>
      </c>
    </row>
    <row r="51" spans="1:5" x14ac:dyDescent="0.25">
      <c r="A51" t="s">
        <v>439</v>
      </c>
      <c r="B51" t="s">
        <v>241</v>
      </c>
      <c r="C51">
        <v>2014</v>
      </c>
      <c r="D51" s="14">
        <v>1.2000000000000011</v>
      </c>
      <c r="E51" s="14">
        <v>0.42999999999999972</v>
      </c>
    </row>
    <row r="52" spans="1:5" x14ac:dyDescent="0.25">
      <c r="A52" t="s">
        <v>440</v>
      </c>
      <c r="B52" t="s">
        <v>241</v>
      </c>
      <c r="C52">
        <v>2018</v>
      </c>
      <c r="D52" s="14">
        <v>1</v>
      </c>
      <c r="E52" s="14">
        <v>1</v>
      </c>
    </row>
    <row r="53" spans="1:5" x14ac:dyDescent="0.25">
      <c r="A53" t="s">
        <v>334</v>
      </c>
      <c r="B53" t="s">
        <v>240</v>
      </c>
      <c r="C53">
        <v>1978</v>
      </c>
      <c r="D53" s="14"/>
      <c r="E53" s="14"/>
    </row>
    <row r="54" spans="1:5" x14ac:dyDescent="0.25">
      <c r="A54" t="s">
        <v>336</v>
      </c>
      <c r="B54" t="s">
        <v>240</v>
      </c>
      <c r="C54">
        <v>1982</v>
      </c>
      <c r="D54" s="14">
        <v>2.5733333333333333</v>
      </c>
      <c r="E54" s="14">
        <v>2.0000000000000004</v>
      </c>
    </row>
    <row r="55" spans="1:5" x14ac:dyDescent="0.25">
      <c r="A55" t="s">
        <v>338</v>
      </c>
      <c r="B55" t="s">
        <v>240</v>
      </c>
      <c r="C55">
        <v>1986</v>
      </c>
      <c r="D55" s="14">
        <v>0.19333333333333247</v>
      </c>
      <c r="E55" s="14">
        <v>0.42999999999999972</v>
      </c>
    </row>
    <row r="56" spans="1:5" x14ac:dyDescent="0.25">
      <c r="A56" t="s">
        <v>339</v>
      </c>
      <c r="B56" t="s">
        <v>240</v>
      </c>
      <c r="C56">
        <v>1990</v>
      </c>
      <c r="D56" s="14">
        <v>0.76333333333333275</v>
      </c>
      <c r="E56" s="14">
        <v>0</v>
      </c>
    </row>
    <row r="57" spans="1:5" x14ac:dyDescent="0.25">
      <c r="A57" t="s">
        <v>341</v>
      </c>
      <c r="B57" t="s">
        <v>240</v>
      </c>
      <c r="C57">
        <v>1994</v>
      </c>
      <c r="D57" s="14">
        <v>0.14333333333333353</v>
      </c>
      <c r="E57" s="14">
        <v>0.29000000000000004</v>
      </c>
    </row>
    <row r="58" spans="1:5" x14ac:dyDescent="0.25">
      <c r="A58" t="s">
        <v>342</v>
      </c>
      <c r="B58" t="s">
        <v>240</v>
      </c>
      <c r="C58">
        <v>1998</v>
      </c>
      <c r="D58" s="14">
        <v>0.42999999999999972</v>
      </c>
      <c r="E58" s="14">
        <v>0</v>
      </c>
    </row>
    <row r="59" spans="1:5" x14ac:dyDescent="0.25">
      <c r="A59" t="s">
        <v>343</v>
      </c>
      <c r="B59" t="s">
        <v>240</v>
      </c>
      <c r="C59">
        <v>2002</v>
      </c>
      <c r="D59" s="14">
        <v>4.3333333333333002E-2</v>
      </c>
      <c r="E59" s="14">
        <v>0.13999999999999968</v>
      </c>
    </row>
    <row r="60" spans="1:5" x14ac:dyDescent="0.25">
      <c r="A60" t="s">
        <v>344</v>
      </c>
      <c r="B60" t="s">
        <v>240</v>
      </c>
      <c r="C60">
        <v>2006</v>
      </c>
      <c r="D60" s="14">
        <v>0.58333333333333481</v>
      </c>
      <c r="E60" s="14">
        <v>0.42999999999999972</v>
      </c>
    </row>
    <row r="61" spans="1:5" x14ac:dyDescent="0.25">
      <c r="A61" t="s">
        <v>345</v>
      </c>
      <c r="B61" t="s">
        <v>240</v>
      </c>
      <c r="C61">
        <v>2010</v>
      </c>
      <c r="D61" s="14">
        <v>0.24666666666666703</v>
      </c>
      <c r="E61" s="14">
        <v>0.13999999999999968</v>
      </c>
    </row>
    <row r="62" spans="1:5" x14ac:dyDescent="0.25">
      <c r="A62" t="s">
        <v>441</v>
      </c>
      <c r="B62" t="s">
        <v>240</v>
      </c>
      <c r="C62">
        <v>2014</v>
      </c>
      <c r="D62" s="14">
        <v>1.5</v>
      </c>
      <c r="E62" s="14">
        <v>1.6399999999999997</v>
      </c>
    </row>
    <row r="63" spans="1:5" x14ac:dyDescent="0.25">
      <c r="A63" t="s">
        <v>442</v>
      </c>
      <c r="B63" t="s">
        <v>240</v>
      </c>
      <c r="C63">
        <v>2018</v>
      </c>
      <c r="D63" s="14">
        <v>0.33333333333333304</v>
      </c>
      <c r="E63" s="14">
        <v>0</v>
      </c>
    </row>
    <row r="64" spans="1:5" x14ac:dyDescent="0.25">
      <c r="A64" t="s">
        <v>346</v>
      </c>
      <c r="B64" t="s">
        <v>239</v>
      </c>
      <c r="C64">
        <v>1979</v>
      </c>
      <c r="D64" s="14"/>
      <c r="E64" s="14"/>
    </row>
    <row r="65" spans="1:5" x14ac:dyDescent="0.25">
      <c r="A65" t="s">
        <v>348</v>
      </c>
      <c r="B65" t="s">
        <v>239</v>
      </c>
      <c r="C65">
        <v>1981</v>
      </c>
      <c r="D65" s="14">
        <v>2.3333333333333339</v>
      </c>
      <c r="E65" s="14">
        <v>2.66</v>
      </c>
    </row>
    <row r="66" spans="1:5" x14ac:dyDescent="0.25">
      <c r="A66" t="s">
        <v>350</v>
      </c>
      <c r="B66" t="s">
        <v>239</v>
      </c>
      <c r="C66">
        <v>1984</v>
      </c>
      <c r="D66" s="14">
        <v>1</v>
      </c>
      <c r="E66" s="14">
        <v>1.17</v>
      </c>
    </row>
    <row r="67" spans="1:5" x14ac:dyDescent="0.25">
      <c r="A67" t="s">
        <v>351</v>
      </c>
      <c r="B67" t="s">
        <v>239</v>
      </c>
      <c r="C67">
        <v>1988</v>
      </c>
      <c r="D67" s="14">
        <v>2.2233333333333336</v>
      </c>
      <c r="E67" s="14">
        <v>3.33</v>
      </c>
    </row>
    <row r="68" spans="1:5" x14ac:dyDescent="0.25">
      <c r="A68" t="s">
        <v>353</v>
      </c>
      <c r="B68" t="s">
        <v>239</v>
      </c>
      <c r="C68">
        <v>1992</v>
      </c>
      <c r="D68" s="14">
        <v>2.0033333333333321</v>
      </c>
      <c r="E68" s="14">
        <v>3.33</v>
      </c>
    </row>
    <row r="69" spans="1:5" x14ac:dyDescent="0.25">
      <c r="A69" t="s">
        <v>355</v>
      </c>
      <c r="B69" t="s">
        <v>239</v>
      </c>
      <c r="C69">
        <v>1997</v>
      </c>
      <c r="D69" s="14">
        <v>0.836666666666666</v>
      </c>
      <c r="E69" s="14">
        <v>1.5</v>
      </c>
    </row>
    <row r="70" spans="1:5" x14ac:dyDescent="0.25">
      <c r="A70" t="s">
        <v>357</v>
      </c>
      <c r="B70" t="s">
        <v>239</v>
      </c>
      <c r="C70">
        <v>1998</v>
      </c>
      <c r="D70" s="14">
        <v>0.836666666666666</v>
      </c>
      <c r="E70" s="14">
        <v>1.17</v>
      </c>
    </row>
    <row r="71" spans="1:5" x14ac:dyDescent="0.25">
      <c r="A71" t="s">
        <v>358</v>
      </c>
      <c r="B71" t="s">
        <v>239</v>
      </c>
      <c r="C71">
        <v>2000</v>
      </c>
      <c r="D71" s="14">
        <v>0.27999999999999847</v>
      </c>
      <c r="E71" s="14">
        <v>0.16000000000000014</v>
      </c>
    </row>
    <row r="72" spans="1:5" x14ac:dyDescent="0.25">
      <c r="A72" t="s">
        <v>360</v>
      </c>
      <c r="B72" t="s">
        <v>239</v>
      </c>
      <c r="C72">
        <v>2003</v>
      </c>
      <c r="D72" s="14">
        <v>0.16666666666666696</v>
      </c>
      <c r="E72" s="14">
        <v>1</v>
      </c>
    </row>
    <row r="73" spans="1:5" x14ac:dyDescent="0.25">
      <c r="A73" t="s">
        <v>362</v>
      </c>
      <c r="B73" t="s">
        <v>239</v>
      </c>
      <c r="C73">
        <v>2005</v>
      </c>
      <c r="D73" s="14">
        <v>1.0033333333333339</v>
      </c>
      <c r="E73" s="14">
        <v>0.83000000000000007</v>
      </c>
    </row>
    <row r="74" spans="1:5" x14ac:dyDescent="0.25">
      <c r="A74" t="s">
        <v>364</v>
      </c>
      <c r="B74" t="s">
        <v>239</v>
      </c>
      <c r="C74">
        <v>2007</v>
      </c>
      <c r="D74" s="14">
        <v>3.33</v>
      </c>
      <c r="E74" s="14">
        <v>2.67</v>
      </c>
    </row>
    <row r="75" spans="1:5" x14ac:dyDescent="0.25">
      <c r="A75" t="s">
        <v>365</v>
      </c>
      <c r="B75" t="s">
        <v>239</v>
      </c>
      <c r="C75">
        <v>2011</v>
      </c>
      <c r="D75" s="14">
        <v>0.27666666666666662</v>
      </c>
      <c r="E75" s="14">
        <v>1</v>
      </c>
    </row>
    <row r="76" spans="1:5" x14ac:dyDescent="0.25">
      <c r="A76" t="s">
        <v>366</v>
      </c>
      <c r="B76" t="s">
        <v>239</v>
      </c>
      <c r="C76">
        <v>2013</v>
      </c>
      <c r="D76" s="14">
        <v>0.59833333333333316</v>
      </c>
      <c r="E76" s="14">
        <v>0.16999999999999993</v>
      </c>
    </row>
    <row r="77" spans="1:5" x14ac:dyDescent="0.25">
      <c r="A77" t="s">
        <v>443</v>
      </c>
      <c r="B77" t="s">
        <v>239</v>
      </c>
      <c r="C77">
        <v>2017</v>
      </c>
      <c r="D77" s="14">
        <v>3.5116666666666663</v>
      </c>
      <c r="E77" s="14">
        <v>3</v>
      </c>
    </row>
    <row r="78" spans="1:5" x14ac:dyDescent="0.25">
      <c r="A78" t="s">
        <v>369</v>
      </c>
      <c r="B78" t="s">
        <v>370</v>
      </c>
      <c r="C78">
        <v>1982</v>
      </c>
      <c r="D78" s="14"/>
      <c r="E78" s="14"/>
    </row>
    <row r="79" spans="1:5" x14ac:dyDescent="0.25">
      <c r="A79" t="s">
        <v>372</v>
      </c>
      <c r="B79" t="s">
        <v>370</v>
      </c>
      <c r="C79">
        <v>1988</v>
      </c>
      <c r="D79" s="14">
        <v>1.7466666666666661</v>
      </c>
      <c r="E79" s="14">
        <v>1.1200000000000001</v>
      </c>
    </row>
    <row r="80" spans="1:5" x14ac:dyDescent="0.25">
      <c r="A80" t="s">
        <v>373</v>
      </c>
      <c r="B80" t="s">
        <v>370</v>
      </c>
      <c r="C80">
        <v>1994</v>
      </c>
      <c r="D80" s="14">
        <v>0.41666666666666696</v>
      </c>
      <c r="E80" s="14">
        <v>1.1200000000000001</v>
      </c>
    </row>
    <row r="81" spans="1:5" x14ac:dyDescent="0.25">
      <c r="A81" t="s">
        <v>374</v>
      </c>
      <c r="B81" t="s">
        <v>370</v>
      </c>
      <c r="C81">
        <v>2000</v>
      </c>
      <c r="D81" s="14">
        <v>0.5</v>
      </c>
      <c r="E81" s="14">
        <v>1.25</v>
      </c>
    </row>
    <row r="82" spans="1:5" x14ac:dyDescent="0.25">
      <c r="A82" t="s">
        <v>375</v>
      </c>
      <c r="B82" t="s">
        <v>370</v>
      </c>
      <c r="C82">
        <v>2006</v>
      </c>
      <c r="D82" s="14">
        <v>0.16333333333333222</v>
      </c>
      <c r="E82" s="14">
        <v>0.25</v>
      </c>
    </row>
    <row r="83" spans="1:5" x14ac:dyDescent="0.25">
      <c r="A83" t="s">
        <v>376</v>
      </c>
      <c r="B83" t="s">
        <v>370</v>
      </c>
      <c r="C83">
        <v>2013</v>
      </c>
      <c r="D83" s="14">
        <v>0.37666666666666782</v>
      </c>
      <c r="E83" s="14">
        <v>0.75</v>
      </c>
    </row>
    <row r="84" spans="1:5" x14ac:dyDescent="0.25">
      <c r="A84" t="s">
        <v>444</v>
      </c>
      <c r="B84" t="s">
        <v>370</v>
      </c>
      <c r="C84">
        <v>2019</v>
      </c>
      <c r="D84" s="14">
        <v>1.5899999999999994</v>
      </c>
      <c r="E84" s="14">
        <v>1.88</v>
      </c>
    </row>
    <row r="85" spans="1:5" x14ac:dyDescent="0.25">
      <c r="A85" t="s">
        <v>377</v>
      </c>
      <c r="B85" t="s">
        <v>230</v>
      </c>
      <c r="C85">
        <v>1989</v>
      </c>
      <c r="D85" s="14"/>
      <c r="E85" s="14"/>
    </row>
    <row r="86" spans="1:5" x14ac:dyDescent="0.25">
      <c r="A86" t="s">
        <v>379</v>
      </c>
      <c r="B86" t="s">
        <v>230</v>
      </c>
      <c r="C86">
        <v>1993</v>
      </c>
      <c r="D86" s="14">
        <v>0</v>
      </c>
      <c r="E86" s="14">
        <v>0.5</v>
      </c>
    </row>
    <row r="87" spans="1:5" x14ac:dyDescent="0.25">
      <c r="A87" t="s">
        <v>380</v>
      </c>
      <c r="B87" t="s">
        <v>230</v>
      </c>
      <c r="C87">
        <v>1999</v>
      </c>
      <c r="D87" s="14">
        <v>0.13333333333333375</v>
      </c>
      <c r="E87" s="14">
        <v>0</v>
      </c>
    </row>
    <row r="88" spans="1:5" x14ac:dyDescent="0.25">
      <c r="A88" t="s">
        <v>381</v>
      </c>
      <c r="B88" t="s">
        <v>230</v>
      </c>
      <c r="C88">
        <v>2003</v>
      </c>
      <c r="D88" s="14">
        <v>1.1999999999999997</v>
      </c>
      <c r="E88" s="14">
        <v>1.9500000000000002</v>
      </c>
    </row>
    <row r="89" spans="1:5" x14ac:dyDescent="0.25">
      <c r="A89" t="s">
        <v>382</v>
      </c>
      <c r="B89" t="s">
        <v>230</v>
      </c>
      <c r="C89">
        <v>2008</v>
      </c>
      <c r="D89" s="14">
        <v>0.4666666666666659</v>
      </c>
      <c r="E89" s="14">
        <v>1.1999999999999997</v>
      </c>
    </row>
    <row r="90" spans="1:5" x14ac:dyDescent="0.25">
      <c r="A90" t="s">
        <v>384</v>
      </c>
      <c r="B90" t="s">
        <v>230</v>
      </c>
      <c r="C90">
        <v>2013</v>
      </c>
      <c r="D90" s="14">
        <v>2.0333333333333337</v>
      </c>
      <c r="E90" s="14">
        <v>3.5999999999999992</v>
      </c>
    </row>
    <row r="91" spans="1:5" x14ac:dyDescent="0.25">
      <c r="A91" t="s">
        <v>445</v>
      </c>
      <c r="B91" t="s">
        <v>230</v>
      </c>
      <c r="C91">
        <v>2018</v>
      </c>
      <c r="D91" s="14">
        <v>3.3333333333332327E-2</v>
      </c>
      <c r="E91" s="14">
        <v>0.40000000000000036</v>
      </c>
    </row>
    <row r="92" spans="1:5" x14ac:dyDescent="0.25">
      <c r="A92" t="s">
        <v>385</v>
      </c>
      <c r="B92" t="s">
        <v>386</v>
      </c>
      <c r="C92">
        <v>1980</v>
      </c>
      <c r="D92" s="14"/>
      <c r="E92" s="14"/>
    </row>
    <row r="93" spans="1:5" x14ac:dyDescent="0.25">
      <c r="A93" t="s">
        <v>388</v>
      </c>
      <c r="B93" t="s">
        <v>386</v>
      </c>
      <c r="C93">
        <v>1985</v>
      </c>
      <c r="D93" s="14">
        <v>1.9999999999999996</v>
      </c>
      <c r="E93" s="14">
        <v>2</v>
      </c>
    </row>
    <row r="94" spans="1:5" x14ac:dyDescent="0.25">
      <c r="A94" t="s">
        <v>390</v>
      </c>
      <c r="B94" t="s">
        <v>386</v>
      </c>
      <c r="C94">
        <v>1990</v>
      </c>
      <c r="D94" s="14">
        <v>2.8866666666666663</v>
      </c>
      <c r="E94" s="14">
        <v>2.1100000000000003</v>
      </c>
    </row>
    <row r="95" spans="1:5" x14ac:dyDescent="0.25">
      <c r="A95" t="s">
        <v>392</v>
      </c>
      <c r="B95" t="s">
        <v>386</v>
      </c>
      <c r="C95">
        <v>1994</v>
      </c>
      <c r="D95" s="14">
        <v>0.41333333333333311</v>
      </c>
      <c r="E95" s="14">
        <v>0.66000000000000014</v>
      </c>
    </row>
    <row r="96" spans="1:5" x14ac:dyDescent="0.25">
      <c r="A96" t="s">
        <v>393</v>
      </c>
      <c r="B96" t="s">
        <v>386</v>
      </c>
      <c r="C96">
        <v>1998</v>
      </c>
      <c r="D96" s="14">
        <v>3.6666666666666181E-2</v>
      </c>
      <c r="E96" s="14">
        <v>0.33999999999999986</v>
      </c>
    </row>
    <row r="97" spans="1:5" x14ac:dyDescent="0.25">
      <c r="A97" t="s">
        <v>395</v>
      </c>
      <c r="B97" t="s">
        <v>386</v>
      </c>
      <c r="C97">
        <v>2001</v>
      </c>
      <c r="D97" s="14">
        <v>7.6666666666665328E-2</v>
      </c>
      <c r="E97" s="14">
        <v>1.1100000000000003</v>
      </c>
    </row>
    <row r="98" spans="1:5" x14ac:dyDescent="0.25">
      <c r="A98" t="s">
        <v>396</v>
      </c>
      <c r="B98" t="s">
        <v>386</v>
      </c>
      <c r="C98">
        <v>2006</v>
      </c>
      <c r="D98" s="14">
        <v>0.18666666666666654</v>
      </c>
      <c r="E98" s="14">
        <v>1</v>
      </c>
    </row>
    <row r="99" spans="1:5" x14ac:dyDescent="0.25">
      <c r="A99" t="s">
        <v>397</v>
      </c>
      <c r="B99" t="s">
        <v>386</v>
      </c>
      <c r="C99">
        <v>2011</v>
      </c>
      <c r="D99" s="14">
        <v>0.81666666666666643</v>
      </c>
      <c r="E99" s="14">
        <v>1.1100000000000003</v>
      </c>
    </row>
    <row r="100" spans="1:5" x14ac:dyDescent="0.25">
      <c r="A100" t="s">
        <v>446</v>
      </c>
      <c r="B100" t="s">
        <v>386</v>
      </c>
      <c r="C100">
        <v>2016</v>
      </c>
      <c r="D100" s="14">
        <v>1.0366666666666662</v>
      </c>
      <c r="E100" s="14">
        <v>1.8400000000000007</v>
      </c>
    </row>
    <row r="101" spans="1:5" x14ac:dyDescent="0.25">
      <c r="A101" t="s">
        <v>447</v>
      </c>
      <c r="B101" t="s">
        <v>386</v>
      </c>
      <c r="C101">
        <v>2018</v>
      </c>
      <c r="D101" s="14">
        <v>1.333333333333333</v>
      </c>
      <c r="E101" s="14">
        <v>1.9000000000000004</v>
      </c>
    </row>
    <row r="102" spans="1:5" x14ac:dyDescent="0.25">
      <c r="A102" t="s">
        <v>448</v>
      </c>
      <c r="B102" t="s">
        <v>386</v>
      </c>
      <c r="C102">
        <v>2020</v>
      </c>
      <c r="D102" s="14">
        <v>0</v>
      </c>
      <c r="E102" s="14">
        <v>0</v>
      </c>
    </row>
    <row r="103" spans="1:5" x14ac:dyDescent="0.25">
      <c r="A103" t="s">
        <v>399</v>
      </c>
      <c r="B103" t="s">
        <v>232</v>
      </c>
      <c r="C103">
        <v>1985</v>
      </c>
      <c r="D103" s="14"/>
      <c r="E103" s="14"/>
    </row>
    <row r="104" spans="1:5" x14ac:dyDescent="0.25">
      <c r="A104" t="s">
        <v>401</v>
      </c>
      <c r="B104" t="s">
        <v>232</v>
      </c>
      <c r="C104">
        <v>1990</v>
      </c>
      <c r="D104" s="14">
        <v>1.21</v>
      </c>
      <c r="E104" s="14">
        <v>0.8100000000000005</v>
      </c>
    </row>
    <row r="105" spans="1:5" x14ac:dyDescent="0.25">
      <c r="A105" t="s">
        <v>403</v>
      </c>
      <c r="B105" t="s">
        <v>232</v>
      </c>
      <c r="C105">
        <v>1995</v>
      </c>
      <c r="D105" s="14">
        <v>0.66333333333333311</v>
      </c>
      <c r="E105" s="14">
        <v>0.54</v>
      </c>
    </row>
    <row r="106" spans="1:5" x14ac:dyDescent="0.25">
      <c r="A106" t="s">
        <v>404</v>
      </c>
      <c r="B106" t="s">
        <v>232</v>
      </c>
      <c r="C106">
        <v>2000</v>
      </c>
      <c r="D106" s="14">
        <v>1.1499999999999995</v>
      </c>
      <c r="E106" s="14">
        <v>0.62999999999999989</v>
      </c>
    </row>
    <row r="107" spans="1:5" x14ac:dyDescent="0.25">
      <c r="A107" t="s">
        <v>405</v>
      </c>
      <c r="B107" t="s">
        <v>232</v>
      </c>
      <c r="C107">
        <v>2005</v>
      </c>
      <c r="D107" s="14">
        <v>2.2133333333333334</v>
      </c>
      <c r="E107" s="14">
        <v>2.4500000000000002</v>
      </c>
    </row>
    <row r="108" spans="1:5" x14ac:dyDescent="0.25">
      <c r="A108" t="s">
        <v>407</v>
      </c>
      <c r="B108" t="s">
        <v>232</v>
      </c>
      <c r="C108">
        <v>2010</v>
      </c>
      <c r="D108" s="14">
        <v>0.84999999999999964</v>
      </c>
      <c r="E108" s="14">
        <v>0.5</v>
      </c>
    </row>
    <row r="109" spans="1:5" x14ac:dyDescent="0.25">
      <c r="A109" t="s">
        <v>449</v>
      </c>
      <c r="B109" t="s">
        <v>232</v>
      </c>
      <c r="C109">
        <v>2015</v>
      </c>
      <c r="D109" s="14">
        <v>1.0266666666666668</v>
      </c>
      <c r="E109" s="14">
        <v>0.33000000000000007</v>
      </c>
    </row>
    <row r="110" spans="1:5" x14ac:dyDescent="0.25">
      <c r="A110" t="s">
        <v>450</v>
      </c>
      <c r="B110" t="s">
        <v>232</v>
      </c>
      <c r="C110">
        <v>2020</v>
      </c>
      <c r="D110" s="14">
        <v>2.7833333333333323</v>
      </c>
      <c r="E110" s="14">
        <v>3</v>
      </c>
    </row>
    <row r="111" spans="1:5" x14ac:dyDescent="0.25">
      <c r="A111" t="s">
        <v>408</v>
      </c>
      <c r="B111" t="s">
        <v>233</v>
      </c>
      <c r="C111">
        <v>1979</v>
      </c>
      <c r="D111" s="14"/>
      <c r="E111" s="14"/>
    </row>
    <row r="112" spans="1:5" x14ac:dyDescent="0.25">
      <c r="A112" t="s">
        <v>410</v>
      </c>
      <c r="B112" t="s">
        <v>233</v>
      </c>
      <c r="C112">
        <v>1984</v>
      </c>
      <c r="D112" s="14">
        <v>0.12666666666666693</v>
      </c>
      <c r="E112" s="14">
        <v>0.37000000000000011</v>
      </c>
    </row>
    <row r="113" spans="1:5" x14ac:dyDescent="0.25">
      <c r="A113" t="s">
        <v>412</v>
      </c>
      <c r="B113" t="s">
        <v>233</v>
      </c>
      <c r="C113">
        <v>1989</v>
      </c>
      <c r="D113" s="14">
        <v>0.96</v>
      </c>
      <c r="E113" s="14">
        <v>0.87000000000000011</v>
      </c>
    </row>
    <row r="114" spans="1:5" x14ac:dyDescent="0.25">
      <c r="A114" t="s">
        <v>413</v>
      </c>
      <c r="B114" t="s">
        <v>233</v>
      </c>
      <c r="C114">
        <v>1994</v>
      </c>
      <c r="D114" s="14">
        <v>0.54333333333333389</v>
      </c>
      <c r="E114" s="14">
        <v>0.62000000000000011</v>
      </c>
    </row>
    <row r="115" spans="1:5" x14ac:dyDescent="0.25">
      <c r="A115" t="s">
        <v>415</v>
      </c>
      <c r="B115" t="s">
        <v>233</v>
      </c>
      <c r="C115">
        <v>1999</v>
      </c>
      <c r="D115" s="14">
        <v>2.6666666666666661</v>
      </c>
      <c r="E115" s="14">
        <v>2</v>
      </c>
    </row>
    <row r="116" spans="1:5" x14ac:dyDescent="0.25">
      <c r="A116" t="s">
        <v>417</v>
      </c>
      <c r="B116" t="s">
        <v>233</v>
      </c>
      <c r="C116">
        <v>2003</v>
      </c>
      <c r="D116" s="14">
        <v>8.3333333333333481E-2</v>
      </c>
      <c r="E116" s="14">
        <v>0.5</v>
      </c>
    </row>
    <row r="117" spans="1:5" x14ac:dyDescent="0.25">
      <c r="A117" t="s">
        <v>418</v>
      </c>
      <c r="B117" t="s">
        <v>233</v>
      </c>
      <c r="C117">
        <v>2008</v>
      </c>
      <c r="D117" s="14">
        <v>0.16999999999999993</v>
      </c>
      <c r="E117" s="14">
        <v>0.37999999999999989</v>
      </c>
    </row>
    <row r="118" spans="1:5" x14ac:dyDescent="0.25">
      <c r="A118" t="s">
        <v>452</v>
      </c>
      <c r="B118" t="s">
        <v>233</v>
      </c>
      <c r="C118">
        <v>2013</v>
      </c>
      <c r="D118" s="14">
        <v>0.62500000000000022</v>
      </c>
      <c r="E118" s="14">
        <v>1.19</v>
      </c>
    </row>
    <row r="119" spans="1:5" x14ac:dyDescent="0.25">
      <c r="A119" t="s">
        <v>451</v>
      </c>
      <c r="B119" t="s">
        <v>233</v>
      </c>
      <c r="C119">
        <v>2019</v>
      </c>
      <c r="D119" s="14">
        <v>0.79166666666666652</v>
      </c>
      <c r="E119" s="14">
        <v>2.06</v>
      </c>
    </row>
  </sheetData>
  <autoFilter ref="A1:G119" xr:uid="{DD38E9A4-B165-4B08-AD89-22F99946B66F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8DB8-40FF-462B-8386-3E1349EE02A0}">
  <dimension ref="A1:I52"/>
  <sheetViews>
    <sheetView zoomScale="70" zoomScaleNormal="70" workbookViewId="0">
      <selection activeCell="H2" sqref="H2:H10"/>
    </sheetView>
  </sheetViews>
  <sheetFormatPr baseColWidth="10" defaultRowHeight="13.2" x14ac:dyDescent="0.25"/>
  <cols>
    <col min="1" max="1" width="35.33203125" bestFit="1" customWidth="1"/>
  </cols>
  <sheetData>
    <row r="1" spans="1:9" x14ac:dyDescent="0.25">
      <c r="A1" t="s">
        <v>245</v>
      </c>
      <c r="B1" t="s">
        <v>246</v>
      </c>
      <c r="C1" t="s">
        <v>271</v>
      </c>
      <c r="D1" t="s">
        <v>249</v>
      </c>
      <c r="E1" t="s">
        <v>471</v>
      </c>
      <c r="F1" t="s">
        <v>460</v>
      </c>
    </row>
    <row r="2" spans="1:9" x14ac:dyDescent="0.25">
      <c r="A2" t="s">
        <v>453</v>
      </c>
      <c r="B2" t="s">
        <v>235</v>
      </c>
      <c r="C2">
        <v>1983</v>
      </c>
      <c r="D2">
        <v>3.6</v>
      </c>
      <c r="E2" t="s">
        <v>463</v>
      </c>
      <c r="H2" t="s">
        <v>463</v>
      </c>
      <c r="I2">
        <v>0.33</v>
      </c>
    </row>
    <row r="3" spans="1:9" x14ac:dyDescent="0.25">
      <c r="A3" t="s">
        <v>279</v>
      </c>
      <c r="B3" t="s">
        <v>235</v>
      </c>
      <c r="C3">
        <v>1989</v>
      </c>
      <c r="D3">
        <v>6.1</v>
      </c>
      <c r="E3" t="s">
        <v>464</v>
      </c>
      <c r="F3">
        <v>2.4999999999999996</v>
      </c>
      <c r="H3" t="s">
        <v>464</v>
      </c>
      <c r="I3">
        <v>1.1399999999999999</v>
      </c>
    </row>
    <row r="4" spans="1:9" x14ac:dyDescent="0.25">
      <c r="A4" t="s">
        <v>282</v>
      </c>
      <c r="B4" t="s">
        <v>235</v>
      </c>
      <c r="C4">
        <v>1994</v>
      </c>
      <c r="D4">
        <v>6.3</v>
      </c>
      <c r="E4" t="s">
        <v>465</v>
      </c>
      <c r="F4">
        <v>0.20000000000000018</v>
      </c>
      <c r="H4" t="s">
        <v>465</v>
      </c>
      <c r="I4">
        <v>0.61</v>
      </c>
    </row>
    <row r="5" spans="1:9" x14ac:dyDescent="0.25">
      <c r="A5" t="s">
        <v>283</v>
      </c>
      <c r="B5" t="s">
        <v>235</v>
      </c>
      <c r="C5">
        <v>1999</v>
      </c>
      <c r="D5">
        <v>5.9</v>
      </c>
      <c r="E5" t="s">
        <v>466</v>
      </c>
      <c r="F5">
        <v>0.39999999999999947</v>
      </c>
      <c r="H5" t="s">
        <v>466</v>
      </c>
      <c r="I5">
        <v>1.1100000000000001</v>
      </c>
    </row>
    <row r="6" spans="1:9" x14ac:dyDescent="0.25">
      <c r="A6" t="s">
        <v>284</v>
      </c>
      <c r="B6" t="s">
        <v>235</v>
      </c>
      <c r="C6">
        <v>2001</v>
      </c>
      <c r="D6">
        <v>4.5999999999999996</v>
      </c>
      <c r="E6" t="s">
        <v>466</v>
      </c>
      <c r="F6">
        <v>1.3000000000000007</v>
      </c>
      <c r="H6" t="s">
        <v>467</v>
      </c>
      <c r="I6" s="14">
        <v>0.6</v>
      </c>
    </row>
    <row r="7" spans="1:9" x14ac:dyDescent="0.25">
      <c r="A7" t="s">
        <v>286</v>
      </c>
      <c r="B7" t="s">
        <v>235</v>
      </c>
      <c r="C7">
        <v>2002</v>
      </c>
      <c r="D7">
        <v>2.8</v>
      </c>
      <c r="E7" t="s">
        <v>466</v>
      </c>
      <c r="F7">
        <v>1.7999999999999998</v>
      </c>
      <c r="H7" t="s">
        <v>468</v>
      </c>
      <c r="I7">
        <v>1.31</v>
      </c>
    </row>
    <row r="8" spans="1:9" x14ac:dyDescent="0.25">
      <c r="A8" t="s">
        <v>287</v>
      </c>
      <c r="B8" t="s">
        <v>235</v>
      </c>
      <c r="C8">
        <v>2006</v>
      </c>
      <c r="D8">
        <v>2.5</v>
      </c>
      <c r="E8" t="s">
        <v>467</v>
      </c>
      <c r="F8">
        <v>0.29999999999999982</v>
      </c>
      <c r="H8" t="s">
        <v>469</v>
      </c>
      <c r="I8">
        <v>1.78</v>
      </c>
    </row>
    <row r="9" spans="1:9" x14ac:dyDescent="0.25">
      <c r="A9" t="s">
        <v>288</v>
      </c>
      <c r="B9" t="s">
        <v>235</v>
      </c>
      <c r="C9">
        <v>2011</v>
      </c>
      <c r="D9">
        <v>1.9</v>
      </c>
      <c r="E9" t="s">
        <v>468</v>
      </c>
      <c r="F9">
        <v>0.60000000000000009</v>
      </c>
      <c r="H9" t="s">
        <v>470</v>
      </c>
      <c r="I9">
        <v>2.1</v>
      </c>
    </row>
    <row r="10" spans="1:9" x14ac:dyDescent="0.25">
      <c r="A10" t="s">
        <v>243</v>
      </c>
      <c r="B10" t="s">
        <v>235</v>
      </c>
      <c r="C10">
        <v>2015</v>
      </c>
      <c r="D10">
        <v>6.3</v>
      </c>
      <c r="E10" t="s">
        <v>469</v>
      </c>
      <c r="F10">
        <v>4.4000000000000004</v>
      </c>
    </row>
    <row r="11" spans="1:9" x14ac:dyDescent="0.25">
      <c r="A11" t="s">
        <v>244</v>
      </c>
      <c r="B11" t="s">
        <v>235</v>
      </c>
      <c r="C11">
        <v>2020</v>
      </c>
      <c r="D11">
        <v>3</v>
      </c>
      <c r="E11" t="s">
        <v>470</v>
      </c>
      <c r="F11">
        <v>3.3</v>
      </c>
    </row>
    <row r="12" spans="1:9" x14ac:dyDescent="0.25">
      <c r="A12" t="s">
        <v>304</v>
      </c>
      <c r="B12" t="s">
        <v>217</v>
      </c>
      <c r="C12">
        <v>1985</v>
      </c>
      <c r="D12">
        <v>5.1100000000000003</v>
      </c>
    </row>
    <row r="13" spans="1:9" x14ac:dyDescent="0.25">
      <c r="A13" t="s">
        <v>306</v>
      </c>
      <c r="B13" t="s">
        <v>217</v>
      </c>
      <c r="C13">
        <v>1990</v>
      </c>
      <c r="D13">
        <v>5.67</v>
      </c>
      <c r="E13" t="s">
        <v>464</v>
      </c>
      <c r="F13">
        <v>0.55999999999999961</v>
      </c>
    </row>
    <row r="14" spans="1:9" x14ac:dyDescent="0.25">
      <c r="A14" t="s">
        <v>308</v>
      </c>
      <c r="B14" t="s">
        <v>217</v>
      </c>
      <c r="C14">
        <v>1992</v>
      </c>
      <c r="D14">
        <v>4.4400000000000004</v>
      </c>
      <c r="E14" t="s">
        <v>464</v>
      </c>
      <c r="F14">
        <v>1.2299999999999995</v>
      </c>
    </row>
    <row r="15" spans="1:9" x14ac:dyDescent="0.25">
      <c r="A15" t="s">
        <v>310</v>
      </c>
      <c r="B15" t="s">
        <v>217</v>
      </c>
      <c r="C15">
        <v>1995</v>
      </c>
      <c r="D15">
        <v>4.78</v>
      </c>
      <c r="E15" t="s">
        <v>465</v>
      </c>
      <c r="F15">
        <v>0.33999999999999986</v>
      </c>
    </row>
    <row r="16" spans="1:9" x14ac:dyDescent="0.25">
      <c r="A16" t="s">
        <v>311</v>
      </c>
      <c r="B16" t="s">
        <v>217</v>
      </c>
      <c r="C16">
        <v>1999</v>
      </c>
      <c r="D16">
        <v>4.78</v>
      </c>
      <c r="E16" t="s">
        <v>466</v>
      </c>
      <c r="F16">
        <v>0</v>
      </c>
    </row>
    <row r="17" spans="1:6" x14ac:dyDescent="0.25">
      <c r="A17" t="s">
        <v>313</v>
      </c>
      <c r="B17" t="s">
        <v>217</v>
      </c>
      <c r="C17">
        <v>2003</v>
      </c>
      <c r="D17">
        <v>2.44</v>
      </c>
      <c r="E17" t="s">
        <v>467</v>
      </c>
      <c r="F17">
        <v>2.3400000000000003</v>
      </c>
    </row>
    <row r="18" spans="1:6" x14ac:dyDescent="0.25">
      <c r="A18" t="s">
        <v>314</v>
      </c>
      <c r="B18" t="s">
        <v>217</v>
      </c>
      <c r="C18">
        <v>2007</v>
      </c>
      <c r="D18">
        <v>2.56</v>
      </c>
      <c r="E18" t="s">
        <v>467</v>
      </c>
      <c r="F18">
        <v>0.12000000000000011</v>
      </c>
    </row>
    <row r="19" spans="1:6" x14ac:dyDescent="0.25">
      <c r="A19" t="s">
        <v>429</v>
      </c>
      <c r="B19" t="s">
        <v>217</v>
      </c>
      <c r="C19">
        <v>2011</v>
      </c>
      <c r="D19">
        <v>3</v>
      </c>
      <c r="E19" t="s">
        <v>468</v>
      </c>
      <c r="F19">
        <v>0.43999999999999995</v>
      </c>
    </row>
    <row r="20" spans="1:6" x14ac:dyDescent="0.25">
      <c r="A20" t="s">
        <v>428</v>
      </c>
      <c r="B20" t="s">
        <v>217</v>
      </c>
      <c r="C20">
        <v>2015</v>
      </c>
      <c r="D20">
        <v>2.6</v>
      </c>
      <c r="E20" t="s">
        <v>469</v>
      </c>
      <c r="F20">
        <v>0.39999999999999991</v>
      </c>
    </row>
    <row r="21" spans="1:6" x14ac:dyDescent="0.25">
      <c r="A21" t="s">
        <v>430</v>
      </c>
      <c r="B21" t="s">
        <v>217</v>
      </c>
      <c r="C21">
        <v>2016</v>
      </c>
      <c r="D21">
        <v>5.0999999999999996</v>
      </c>
      <c r="E21" t="s">
        <v>469</v>
      </c>
      <c r="F21">
        <v>2.4999999999999996</v>
      </c>
    </row>
    <row r="22" spans="1:6" x14ac:dyDescent="0.25">
      <c r="A22" t="s">
        <v>431</v>
      </c>
      <c r="B22" t="s">
        <v>217</v>
      </c>
      <c r="C22">
        <v>2019</v>
      </c>
      <c r="D22">
        <v>6.6</v>
      </c>
      <c r="E22" t="s">
        <v>470</v>
      </c>
      <c r="F22">
        <v>1.5</v>
      </c>
    </row>
    <row r="23" spans="1:6" x14ac:dyDescent="0.25">
      <c r="A23" t="s">
        <v>315</v>
      </c>
      <c r="B23" t="s">
        <v>229</v>
      </c>
      <c r="C23">
        <v>1990</v>
      </c>
      <c r="D23">
        <v>4</v>
      </c>
    </row>
    <row r="24" spans="1:6" x14ac:dyDescent="0.25">
      <c r="A24" t="s">
        <v>317</v>
      </c>
      <c r="B24" t="s">
        <v>229</v>
      </c>
      <c r="C24">
        <v>1994</v>
      </c>
      <c r="D24">
        <v>4.1399999999999997</v>
      </c>
      <c r="E24" t="s">
        <v>465</v>
      </c>
      <c r="F24">
        <v>0.13999999999999968</v>
      </c>
    </row>
    <row r="25" spans="1:6" x14ac:dyDescent="0.25">
      <c r="A25" t="s">
        <v>318</v>
      </c>
      <c r="B25" t="s">
        <v>229</v>
      </c>
      <c r="C25">
        <v>2000</v>
      </c>
      <c r="D25">
        <v>3.57</v>
      </c>
      <c r="E25" t="s">
        <v>466</v>
      </c>
      <c r="F25">
        <v>0.56999999999999984</v>
      </c>
    </row>
    <row r="26" spans="1:6" x14ac:dyDescent="0.25">
      <c r="A26" t="s">
        <v>320</v>
      </c>
      <c r="B26" t="s">
        <v>229</v>
      </c>
      <c r="C26">
        <v>2006</v>
      </c>
      <c r="D26">
        <v>2.86</v>
      </c>
      <c r="E26" t="s">
        <v>467</v>
      </c>
      <c r="F26">
        <v>0.71</v>
      </c>
    </row>
    <row r="27" spans="1:6" x14ac:dyDescent="0.25">
      <c r="A27" t="s">
        <v>436</v>
      </c>
      <c r="B27" t="s">
        <v>229</v>
      </c>
      <c r="C27">
        <v>2010</v>
      </c>
      <c r="D27">
        <v>5.7</v>
      </c>
      <c r="E27" t="s">
        <v>468</v>
      </c>
      <c r="F27">
        <v>2.8400000000000003</v>
      </c>
    </row>
    <row r="28" spans="1:6" x14ac:dyDescent="0.25">
      <c r="A28" t="s">
        <v>435</v>
      </c>
      <c r="B28" t="s">
        <v>229</v>
      </c>
      <c r="C28">
        <v>2014</v>
      </c>
      <c r="D28">
        <v>2.9</v>
      </c>
      <c r="E28" t="s">
        <v>469</v>
      </c>
      <c r="F28">
        <v>2.8000000000000003</v>
      </c>
    </row>
    <row r="29" spans="1:6" x14ac:dyDescent="0.25">
      <c r="A29" t="s">
        <v>437</v>
      </c>
      <c r="B29" t="s">
        <v>229</v>
      </c>
      <c r="C29">
        <v>2018</v>
      </c>
      <c r="D29">
        <v>5.81</v>
      </c>
      <c r="E29" t="s">
        <v>470</v>
      </c>
      <c r="F29">
        <v>2.9099999999999997</v>
      </c>
    </row>
    <row r="30" spans="1:6" x14ac:dyDescent="0.25">
      <c r="A30" t="s">
        <v>326</v>
      </c>
      <c r="B30" t="s">
        <v>241</v>
      </c>
      <c r="C30">
        <v>1986</v>
      </c>
      <c r="D30">
        <v>4.8600000000000003</v>
      </c>
      <c r="E30" t="s">
        <v>463</v>
      </c>
      <c r="F30">
        <v>0.29000000000000004</v>
      </c>
    </row>
    <row r="31" spans="1:6" x14ac:dyDescent="0.25">
      <c r="A31" t="s">
        <v>327</v>
      </c>
      <c r="B31" t="s">
        <v>241</v>
      </c>
      <c r="C31">
        <v>1990</v>
      </c>
      <c r="D31">
        <v>5.43</v>
      </c>
      <c r="E31" t="s">
        <v>464</v>
      </c>
      <c r="F31">
        <v>0.5699999999999994</v>
      </c>
    </row>
    <row r="32" spans="1:6" x14ac:dyDescent="0.25">
      <c r="A32" t="s">
        <v>328</v>
      </c>
      <c r="B32" t="s">
        <v>241</v>
      </c>
      <c r="C32">
        <v>1994</v>
      </c>
      <c r="D32">
        <v>4.1399999999999997</v>
      </c>
      <c r="E32" t="s">
        <v>465</v>
      </c>
      <c r="F32">
        <v>1.29</v>
      </c>
    </row>
    <row r="33" spans="1:6" x14ac:dyDescent="0.25">
      <c r="A33" t="s">
        <v>329</v>
      </c>
      <c r="B33" t="s">
        <v>241</v>
      </c>
      <c r="C33">
        <v>1998</v>
      </c>
      <c r="D33">
        <v>6</v>
      </c>
      <c r="E33" t="s">
        <v>466</v>
      </c>
      <c r="F33">
        <v>1.8600000000000003</v>
      </c>
    </row>
    <row r="34" spans="1:6" x14ac:dyDescent="0.25">
      <c r="A34" t="s">
        <v>330</v>
      </c>
      <c r="B34" t="s">
        <v>241</v>
      </c>
      <c r="C34">
        <v>2002</v>
      </c>
      <c r="D34">
        <v>6.86</v>
      </c>
      <c r="E34" t="s">
        <v>466</v>
      </c>
      <c r="F34">
        <v>0.86000000000000032</v>
      </c>
    </row>
    <row r="35" spans="1:6" x14ac:dyDescent="0.25">
      <c r="A35" t="s">
        <v>332</v>
      </c>
      <c r="B35" t="s">
        <v>241</v>
      </c>
      <c r="C35">
        <v>2006</v>
      </c>
      <c r="D35">
        <v>6.86</v>
      </c>
      <c r="E35" t="s">
        <v>467</v>
      </c>
      <c r="F35">
        <v>0</v>
      </c>
    </row>
    <row r="36" spans="1:6" x14ac:dyDescent="0.25">
      <c r="A36" t="s">
        <v>438</v>
      </c>
      <c r="B36" t="s">
        <v>241</v>
      </c>
      <c r="C36">
        <v>2010</v>
      </c>
      <c r="D36">
        <v>4.57</v>
      </c>
      <c r="E36" t="s">
        <v>468</v>
      </c>
      <c r="F36">
        <v>2.29</v>
      </c>
    </row>
    <row r="37" spans="1:6" x14ac:dyDescent="0.25">
      <c r="A37" t="s">
        <v>439</v>
      </c>
      <c r="B37" t="s">
        <v>241</v>
      </c>
      <c r="C37">
        <v>2014</v>
      </c>
      <c r="D37">
        <v>5</v>
      </c>
      <c r="E37" t="s">
        <v>469</v>
      </c>
      <c r="F37">
        <v>0.42999999999999972</v>
      </c>
    </row>
    <row r="38" spans="1:6" x14ac:dyDescent="0.25">
      <c r="A38" t="s">
        <v>440</v>
      </c>
      <c r="B38" t="s">
        <v>241</v>
      </c>
      <c r="C38">
        <v>2018</v>
      </c>
      <c r="D38">
        <v>6</v>
      </c>
      <c r="E38" t="s">
        <v>470</v>
      </c>
      <c r="F38">
        <v>1</v>
      </c>
    </row>
    <row r="39" spans="1:6" x14ac:dyDescent="0.25">
      <c r="A39" t="s">
        <v>372</v>
      </c>
      <c r="B39" t="s">
        <v>370</v>
      </c>
      <c r="C39">
        <v>1988</v>
      </c>
      <c r="D39">
        <v>5.75</v>
      </c>
      <c r="E39" t="s">
        <v>464</v>
      </c>
      <c r="F39">
        <v>1.1200000000000001</v>
      </c>
    </row>
    <row r="40" spans="1:6" x14ac:dyDescent="0.25">
      <c r="A40" t="s">
        <v>373</v>
      </c>
      <c r="B40" t="s">
        <v>370</v>
      </c>
      <c r="C40">
        <v>1994</v>
      </c>
      <c r="D40">
        <v>4.63</v>
      </c>
      <c r="E40" t="s">
        <v>465</v>
      </c>
      <c r="F40">
        <v>1.1200000000000001</v>
      </c>
    </row>
    <row r="41" spans="1:6" x14ac:dyDescent="0.25">
      <c r="A41" t="s">
        <v>374</v>
      </c>
      <c r="B41" t="s">
        <v>370</v>
      </c>
      <c r="C41">
        <v>2000</v>
      </c>
      <c r="D41">
        <v>5.88</v>
      </c>
      <c r="E41" t="s">
        <v>466</v>
      </c>
      <c r="F41">
        <v>1.25</v>
      </c>
    </row>
    <row r="42" spans="1:6" x14ac:dyDescent="0.25">
      <c r="A42" t="s">
        <v>375</v>
      </c>
      <c r="B42" t="s">
        <v>370</v>
      </c>
      <c r="C42">
        <v>2006</v>
      </c>
      <c r="D42">
        <v>6.13</v>
      </c>
      <c r="E42" t="s">
        <v>467</v>
      </c>
      <c r="F42">
        <v>0.25</v>
      </c>
    </row>
    <row r="43" spans="1:6" x14ac:dyDescent="0.25">
      <c r="A43" t="s">
        <v>376</v>
      </c>
      <c r="B43" t="s">
        <v>370</v>
      </c>
      <c r="C43">
        <v>2013</v>
      </c>
      <c r="D43">
        <v>5.38</v>
      </c>
      <c r="E43" t="s">
        <v>469</v>
      </c>
      <c r="F43">
        <v>0.75</v>
      </c>
    </row>
    <row r="44" spans="1:6" x14ac:dyDescent="0.25">
      <c r="A44" t="s">
        <v>444</v>
      </c>
      <c r="B44" t="s">
        <v>370</v>
      </c>
      <c r="C44">
        <v>2019</v>
      </c>
      <c r="D44">
        <v>3.5</v>
      </c>
      <c r="E44" t="s">
        <v>470</v>
      </c>
      <c r="F44">
        <v>1.88</v>
      </c>
    </row>
    <row r="45" spans="1:6" x14ac:dyDescent="0.25">
      <c r="A45" t="s">
        <v>410</v>
      </c>
      <c r="B45" t="s">
        <v>233</v>
      </c>
      <c r="C45">
        <v>1984</v>
      </c>
      <c r="D45">
        <v>3.88</v>
      </c>
      <c r="E45" t="s">
        <v>463</v>
      </c>
      <c r="F45">
        <v>0.37000000000000011</v>
      </c>
    </row>
    <row r="46" spans="1:6" x14ac:dyDescent="0.25">
      <c r="A46" t="s">
        <v>412</v>
      </c>
      <c r="B46" t="s">
        <v>233</v>
      </c>
      <c r="C46">
        <v>1989</v>
      </c>
      <c r="D46">
        <v>4.75</v>
      </c>
      <c r="E46" t="s">
        <v>464</v>
      </c>
      <c r="F46">
        <v>0.87000000000000011</v>
      </c>
    </row>
    <row r="47" spans="1:6" x14ac:dyDescent="0.25">
      <c r="A47" t="s">
        <v>413</v>
      </c>
      <c r="B47" t="s">
        <v>233</v>
      </c>
      <c r="C47">
        <v>1994</v>
      </c>
      <c r="D47">
        <v>4.13</v>
      </c>
      <c r="E47" t="s">
        <v>465</v>
      </c>
      <c r="F47">
        <v>0.62000000000000011</v>
      </c>
    </row>
    <row r="48" spans="1:6" x14ac:dyDescent="0.25">
      <c r="A48" t="s">
        <v>415</v>
      </c>
      <c r="B48" t="s">
        <v>233</v>
      </c>
      <c r="C48">
        <v>1999</v>
      </c>
      <c r="D48">
        <v>2.13</v>
      </c>
      <c r="E48" t="s">
        <v>466</v>
      </c>
      <c r="F48">
        <v>2</v>
      </c>
    </row>
    <row r="49" spans="1:6" x14ac:dyDescent="0.25">
      <c r="A49" t="s">
        <v>417</v>
      </c>
      <c r="B49" t="s">
        <v>233</v>
      </c>
      <c r="C49">
        <v>2003</v>
      </c>
      <c r="D49">
        <v>1.63</v>
      </c>
      <c r="E49" t="s">
        <v>467</v>
      </c>
      <c r="F49">
        <v>0.5</v>
      </c>
    </row>
    <row r="50" spans="1:6" x14ac:dyDescent="0.25">
      <c r="A50" t="s">
        <v>418</v>
      </c>
      <c r="B50" t="s">
        <v>233</v>
      </c>
      <c r="C50">
        <v>2008</v>
      </c>
      <c r="D50">
        <v>1.25</v>
      </c>
      <c r="E50" t="s">
        <v>468</v>
      </c>
      <c r="F50">
        <v>0.37999999999999989</v>
      </c>
    </row>
    <row r="51" spans="1:6" x14ac:dyDescent="0.25">
      <c r="A51" t="s">
        <v>452</v>
      </c>
      <c r="B51" t="s">
        <v>233</v>
      </c>
      <c r="C51">
        <v>2013</v>
      </c>
      <c r="D51">
        <v>2.44</v>
      </c>
      <c r="E51" t="s">
        <v>469</v>
      </c>
      <c r="F51">
        <v>1.19</v>
      </c>
    </row>
    <row r="52" spans="1:6" x14ac:dyDescent="0.25">
      <c r="A52" t="s">
        <v>451</v>
      </c>
      <c r="B52" t="s">
        <v>233</v>
      </c>
      <c r="C52">
        <v>2019</v>
      </c>
      <c r="D52">
        <v>4.5</v>
      </c>
      <c r="E52" t="s">
        <v>470</v>
      </c>
      <c r="F52">
        <v>2.06</v>
      </c>
    </row>
  </sheetData>
  <autoFilter ref="A1:G52" xr:uid="{8F378DB8-40FF-462B-8386-3E1349EE02A0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1F87-21A8-44E7-AAB8-9FA1C5B90D24}">
  <dimension ref="A1:M65"/>
  <sheetViews>
    <sheetView tabSelected="1" workbookViewId="0">
      <selection activeCell="A14" sqref="A14"/>
    </sheetView>
  </sheetViews>
  <sheetFormatPr baseColWidth="10" defaultRowHeight="13.2" x14ac:dyDescent="0.25"/>
  <cols>
    <col min="1" max="1" width="26.33203125" customWidth="1"/>
  </cols>
  <sheetData>
    <row r="1" spans="1:13" x14ac:dyDescent="0.25">
      <c r="A1" t="s">
        <v>245</v>
      </c>
      <c r="B1" t="s">
        <v>246</v>
      </c>
      <c r="C1" t="s">
        <v>247</v>
      </c>
      <c r="D1" t="s">
        <v>248</v>
      </c>
      <c r="E1" t="s">
        <v>271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</row>
    <row r="2" spans="1:13" x14ac:dyDescent="0.25">
      <c r="A2" t="s">
        <v>283</v>
      </c>
      <c r="B2" t="s">
        <v>235</v>
      </c>
      <c r="C2">
        <v>1</v>
      </c>
      <c r="D2">
        <v>4</v>
      </c>
      <c r="E2">
        <v>1999</v>
      </c>
      <c r="F2" s="14">
        <v>5.9</v>
      </c>
      <c r="G2" s="14">
        <v>6.1</v>
      </c>
      <c r="H2" s="14">
        <v>5.5</v>
      </c>
      <c r="I2" s="14">
        <v>4.5999999999999996</v>
      </c>
      <c r="J2" s="14">
        <v>5.9</v>
      </c>
      <c r="K2" s="14">
        <v>3</v>
      </c>
      <c r="L2" s="14">
        <v>4</v>
      </c>
      <c r="M2" s="14">
        <v>4.0999999999999996</v>
      </c>
    </row>
    <row r="3" spans="1:13" x14ac:dyDescent="0.25">
      <c r="A3" t="s">
        <v>284</v>
      </c>
      <c r="B3" t="s">
        <v>235</v>
      </c>
      <c r="C3">
        <v>1</v>
      </c>
      <c r="D3">
        <v>5</v>
      </c>
      <c r="E3">
        <v>2001</v>
      </c>
      <c r="F3" s="14">
        <v>4.5999999999999996</v>
      </c>
      <c r="G3" s="14">
        <v>4.33</v>
      </c>
      <c r="H3" s="14">
        <v>4</v>
      </c>
      <c r="I3" s="14">
        <v>5.0999999999999996</v>
      </c>
      <c r="J3" s="14">
        <v>4.0999999999999996</v>
      </c>
      <c r="K3" s="14">
        <v>3.4</v>
      </c>
      <c r="L3" s="14">
        <v>4.2</v>
      </c>
      <c r="M3" s="14">
        <v>3.8</v>
      </c>
    </row>
    <row r="4" spans="1:13" x14ac:dyDescent="0.25">
      <c r="A4" t="s">
        <v>286</v>
      </c>
      <c r="B4" t="s">
        <v>235</v>
      </c>
      <c r="C4">
        <v>1</v>
      </c>
      <c r="D4">
        <v>6</v>
      </c>
      <c r="E4">
        <v>2002</v>
      </c>
      <c r="F4" s="14">
        <v>2.8</v>
      </c>
      <c r="G4" s="14">
        <v>2.7</v>
      </c>
      <c r="H4" s="14">
        <v>2.2000000000000002</v>
      </c>
      <c r="I4" s="14">
        <v>3.2</v>
      </c>
      <c r="J4" s="14">
        <v>2.8</v>
      </c>
      <c r="K4" s="14">
        <v>3.6</v>
      </c>
      <c r="L4" s="14">
        <v>3.7</v>
      </c>
      <c r="M4" s="14">
        <v>4</v>
      </c>
    </row>
    <row r="5" spans="1:13" x14ac:dyDescent="0.25">
      <c r="A5" t="s">
        <v>287</v>
      </c>
      <c r="B5" t="s">
        <v>235</v>
      </c>
      <c r="C5">
        <v>1</v>
      </c>
      <c r="D5">
        <v>7</v>
      </c>
      <c r="E5">
        <v>2006</v>
      </c>
      <c r="F5" s="14">
        <v>2.5</v>
      </c>
      <c r="G5" s="14">
        <v>2</v>
      </c>
      <c r="H5" s="14">
        <v>2</v>
      </c>
      <c r="I5" s="14">
        <v>2.5</v>
      </c>
      <c r="J5" s="14">
        <v>2.2000000000000002</v>
      </c>
      <c r="K5" s="14">
        <v>3.5</v>
      </c>
      <c r="L5" s="14">
        <v>3.2</v>
      </c>
      <c r="M5" s="14">
        <v>3.4</v>
      </c>
    </row>
    <row r="6" spans="1:13" x14ac:dyDescent="0.25">
      <c r="A6" t="s">
        <v>288</v>
      </c>
      <c r="B6" t="s">
        <v>235</v>
      </c>
      <c r="C6">
        <v>1</v>
      </c>
      <c r="D6">
        <v>8</v>
      </c>
      <c r="E6">
        <v>2011</v>
      </c>
      <c r="F6" s="14">
        <v>1.9</v>
      </c>
      <c r="G6" s="14">
        <v>1.7</v>
      </c>
      <c r="H6" s="14">
        <v>2</v>
      </c>
      <c r="I6" s="14">
        <v>2</v>
      </c>
      <c r="J6" s="14">
        <v>1.7</v>
      </c>
      <c r="K6" s="14">
        <v>3.5</v>
      </c>
      <c r="L6" s="14">
        <v>3.4</v>
      </c>
      <c r="M6" s="14">
        <v>3.4</v>
      </c>
    </row>
    <row r="7" spans="1:13" x14ac:dyDescent="0.25">
      <c r="A7" t="s">
        <v>243</v>
      </c>
      <c r="B7" t="s">
        <v>235</v>
      </c>
      <c r="C7">
        <v>1</v>
      </c>
      <c r="D7">
        <v>9</v>
      </c>
      <c r="E7">
        <v>2015</v>
      </c>
      <c r="F7" s="14">
        <v>6.3</v>
      </c>
      <c r="G7" s="14">
        <v>5.9</v>
      </c>
      <c r="H7" s="14">
        <v>5.9</v>
      </c>
      <c r="I7" s="14">
        <v>3.5</v>
      </c>
      <c r="J7" s="14">
        <v>6</v>
      </c>
      <c r="K7" s="14">
        <v>2.2000000000000002</v>
      </c>
      <c r="L7" s="14">
        <v>4.3</v>
      </c>
      <c r="M7" s="14">
        <v>4.5999999999999996</v>
      </c>
    </row>
    <row r="8" spans="1:13" x14ac:dyDescent="0.25">
      <c r="A8" t="s">
        <v>244</v>
      </c>
      <c r="B8" t="s">
        <v>235</v>
      </c>
      <c r="C8">
        <v>1</v>
      </c>
      <c r="D8">
        <v>10</v>
      </c>
      <c r="E8">
        <v>2020</v>
      </c>
      <c r="F8" s="14">
        <v>3</v>
      </c>
      <c r="G8" s="14">
        <v>2.4</v>
      </c>
      <c r="H8" s="14">
        <v>3.1</v>
      </c>
      <c r="I8" s="14">
        <v>3</v>
      </c>
      <c r="J8" s="14">
        <v>3</v>
      </c>
      <c r="K8" s="14">
        <v>3.4</v>
      </c>
      <c r="L8" s="14">
        <v>3.3</v>
      </c>
      <c r="M8" s="14">
        <v>2.5</v>
      </c>
    </row>
    <row r="9" spans="1:13" x14ac:dyDescent="0.25">
      <c r="A9" t="s">
        <v>299</v>
      </c>
      <c r="B9" t="s">
        <v>238</v>
      </c>
      <c r="C9">
        <v>2</v>
      </c>
      <c r="D9">
        <v>6</v>
      </c>
      <c r="E9">
        <v>2003</v>
      </c>
      <c r="F9" s="14">
        <v>4.5</v>
      </c>
      <c r="G9" s="14">
        <v>5.4</v>
      </c>
      <c r="H9" s="14">
        <v>4.9000000000000004</v>
      </c>
      <c r="I9" s="14">
        <v>4.3</v>
      </c>
      <c r="J9" s="14">
        <v>5</v>
      </c>
      <c r="K9" s="14">
        <v>3.4</v>
      </c>
      <c r="L9" s="14">
        <v>3.8</v>
      </c>
      <c r="M9" s="14">
        <v>3.6</v>
      </c>
    </row>
    <row r="10" spans="1:13" x14ac:dyDescent="0.25">
      <c r="A10" t="s">
        <v>302</v>
      </c>
      <c r="B10" t="s">
        <v>238</v>
      </c>
      <c r="C10">
        <v>2</v>
      </c>
      <c r="D10">
        <v>7</v>
      </c>
      <c r="E10">
        <v>2006</v>
      </c>
      <c r="F10" s="14">
        <v>2.2000000000000002</v>
      </c>
      <c r="G10" s="14">
        <v>3.2</v>
      </c>
      <c r="H10" s="14">
        <v>1.7</v>
      </c>
      <c r="I10" s="14">
        <v>2</v>
      </c>
      <c r="J10" s="14">
        <v>1.3</v>
      </c>
      <c r="K10" s="14">
        <v>4.9000000000000004</v>
      </c>
      <c r="L10" s="14">
        <v>4.5</v>
      </c>
      <c r="M10" s="14">
        <v>3.8</v>
      </c>
    </row>
    <row r="11" spans="1:13" x14ac:dyDescent="0.25">
      <c r="A11" t="s">
        <v>303</v>
      </c>
      <c r="B11" t="s">
        <v>238</v>
      </c>
      <c r="C11">
        <v>2</v>
      </c>
      <c r="D11">
        <v>8</v>
      </c>
      <c r="E11">
        <v>2010</v>
      </c>
      <c r="F11" s="14">
        <v>2.9</v>
      </c>
      <c r="G11" s="14">
        <v>3.6</v>
      </c>
      <c r="H11" s="14">
        <v>2.2000000000000002</v>
      </c>
      <c r="I11" s="14">
        <v>2.8</v>
      </c>
      <c r="J11" s="14">
        <v>1.7</v>
      </c>
      <c r="K11" s="14">
        <v>4.8</v>
      </c>
      <c r="L11" s="14">
        <v>4.5999999999999996</v>
      </c>
      <c r="M11" s="14">
        <v>3.9</v>
      </c>
    </row>
    <row r="12" spans="1:13" x14ac:dyDescent="0.25">
      <c r="A12" t="s">
        <v>425</v>
      </c>
      <c r="B12" t="s">
        <v>238</v>
      </c>
      <c r="C12">
        <v>2</v>
      </c>
      <c r="D12">
        <v>9</v>
      </c>
      <c r="E12">
        <v>2015</v>
      </c>
      <c r="F12" s="14">
        <v>4</v>
      </c>
      <c r="G12" s="14">
        <v>4</v>
      </c>
      <c r="H12" s="14">
        <v>3</v>
      </c>
      <c r="I12" s="14">
        <v>5</v>
      </c>
      <c r="J12" s="14">
        <v>1</v>
      </c>
      <c r="K12" s="14">
        <v>4</v>
      </c>
      <c r="L12" s="14">
        <v>4</v>
      </c>
      <c r="M12" s="14">
        <v>4</v>
      </c>
    </row>
    <row r="13" spans="1:13" x14ac:dyDescent="0.25">
      <c r="A13" t="s">
        <v>426</v>
      </c>
      <c r="B13" t="s">
        <v>238</v>
      </c>
      <c r="C13">
        <v>2</v>
      </c>
      <c r="D13">
        <v>10</v>
      </c>
      <c r="E13">
        <v>2019</v>
      </c>
      <c r="F13" s="14">
        <v>7</v>
      </c>
      <c r="G13" s="14">
        <v>7</v>
      </c>
      <c r="H13" s="14">
        <v>7</v>
      </c>
      <c r="I13" s="14">
        <v>2</v>
      </c>
      <c r="J13" s="14">
        <v>7</v>
      </c>
      <c r="K13" s="14">
        <v>2</v>
      </c>
      <c r="L13" s="14">
        <v>2</v>
      </c>
      <c r="M13" s="14">
        <v>2</v>
      </c>
    </row>
    <row r="14" spans="1:13" x14ac:dyDescent="0.25">
      <c r="A14" t="s">
        <v>427</v>
      </c>
      <c r="B14" t="s">
        <v>238</v>
      </c>
      <c r="C14">
        <v>2</v>
      </c>
      <c r="D14">
        <v>11</v>
      </c>
      <c r="E14">
        <v>2020</v>
      </c>
      <c r="F14" s="14">
        <v>5</v>
      </c>
      <c r="G14" s="14">
        <v>4</v>
      </c>
      <c r="H14" s="14">
        <v>4</v>
      </c>
      <c r="I14" s="14">
        <v>5</v>
      </c>
      <c r="J14" s="14">
        <v>2</v>
      </c>
      <c r="K14" s="14">
        <v>4</v>
      </c>
      <c r="L14" s="14">
        <v>4</v>
      </c>
      <c r="M14" s="14">
        <v>3</v>
      </c>
    </row>
    <row r="15" spans="1:13" x14ac:dyDescent="0.25">
      <c r="A15" t="s">
        <v>313</v>
      </c>
      <c r="B15" t="s">
        <v>217</v>
      </c>
      <c r="C15">
        <v>3</v>
      </c>
      <c r="D15">
        <v>6</v>
      </c>
      <c r="E15">
        <v>2003</v>
      </c>
      <c r="F15" s="14">
        <v>2.44</v>
      </c>
      <c r="G15" s="14">
        <v>3.33</v>
      </c>
      <c r="H15" s="14">
        <v>2</v>
      </c>
      <c r="I15" s="14">
        <v>3.11</v>
      </c>
      <c r="J15" s="14">
        <v>2</v>
      </c>
      <c r="K15" s="14">
        <v>4.33</v>
      </c>
      <c r="L15" s="14">
        <v>4.8899999999999997</v>
      </c>
      <c r="M15" s="14">
        <v>4.5599999999999996</v>
      </c>
    </row>
    <row r="16" spans="1:13" x14ac:dyDescent="0.25">
      <c r="A16" t="s">
        <v>314</v>
      </c>
      <c r="B16" t="s">
        <v>217</v>
      </c>
      <c r="C16">
        <v>3</v>
      </c>
      <c r="D16">
        <v>7</v>
      </c>
      <c r="E16">
        <v>2007</v>
      </c>
      <c r="F16" s="14">
        <v>2.56</v>
      </c>
      <c r="G16" s="14">
        <v>3.22</v>
      </c>
      <c r="H16" s="14">
        <v>2.11</v>
      </c>
      <c r="I16" s="14">
        <v>3.22</v>
      </c>
      <c r="J16" s="14">
        <v>2.11</v>
      </c>
      <c r="K16" s="14">
        <v>4.33</v>
      </c>
      <c r="L16" s="14">
        <v>4.78</v>
      </c>
      <c r="M16" s="14">
        <v>4.33</v>
      </c>
    </row>
    <row r="17" spans="1:13" x14ac:dyDescent="0.25">
      <c r="A17" t="s">
        <v>429</v>
      </c>
      <c r="B17" t="s">
        <v>217</v>
      </c>
      <c r="C17">
        <v>3</v>
      </c>
      <c r="D17">
        <v>8</v>
      </c>
      <c r="E17">
        <v>2011</v>
      </c>
      <c r="F17" s="14">
        <v>3</v>
      </c>
      <c r="G17" s="14">
        <v>3.44</v>
      </c>
      <c r="H17" s="14">
        <v>2.89</v>
      </c>
      <c r="I17" s="14">
        <v>3.11</v>
      </c>
      <c r="J17" s="14">
        <v>2.44</v>
      </c>
      <c r="K17" s="14">
        <v>3.89</v>
      </c>
      <c r="L17" s="14">
        <v>2.89</v>
      </c>
      <c r="M17" s="14">
        <v>3.78</v>
      </c>
    </row>
    <row r="18" spans="1:13" x14ac:dyDescent="0.25">
      <c r="A18" t="s">
        <v>428</v>
      </c>
      <c r="B18" t="s">
        <v>217</v>
      </c>
      <c r="C18">
        <v>3</v>
      </c>
      <c r="D18">
        <v>9</v>
      </c>
      <c r="E18">
        <v>2015</v>
      </c>
      <c r="F18" s="14">
        <v>2.6</v>
      </c>
      <c r="G18" s="14">
        <v>3.3</v>
      </c>
      <c r="H18" s="14">
        <v>2.9</v>
      </c>
      <c r="I18" s="14">
        <v>3.6</v>
      </c>
      <c r="J18" s="14">
        <v>2.63</v>
      </c>
      <c r="K18" s="14">
        <v>4.2699999999999996</v>
      </c>
      <c r="L18" s="14">
        <v>4</v>
      </c>
      <c r="M18" s="14">
        <v>2.81</v>
      </c>
    </row>
    <row r="19" spans="1:13" x14ac:dyDescent="0.25">
      <c r="A19" t="s">
        <v>430</v>
      </c>
      <c r="B19" t="s">
        <v>217</v>
      </c>
      <c r="C19">
        <v>3</v>
      </c>
      <c r="D19">
        <v>10</v>
      </c>
      <c r="E19">
        <v>2016</v>
      </c>
      <c r="F19" s="14">
        <v>5.0999999999999996</v>
      </c>
      <c r="G19" s="14">
        <v>4.9000000000000004</v>
      </c>
      <c r="H19" s="14">
        <v>5.0999999999999996</v>
      </c>
      <c r="I19" s="14">
        <v>4.45</v>
      </c>
      <c r="J19" s="14">
        <v>4.45</v>
      </c>
      <c r="K19" s="14">
        <v>3.18</v>
      </c>
      <c r="L19" s="14">
        <v>4.54</v>
      </c>
      <c r="M19" s="14">
        <v>3.27</v>
      </c>
    </row>
    <row r="20" spans="1:13" x14ac:dyDescent="0.25">
      <c r="A20" t="s">
        <v>431</v>
      </c>
      <c r="B20" t="s">
        <v>217</v>
      </c>
      <c r="C20">
        <v>3</v>
      </c>
      <c r="D20">
        <v>11</v>
      </c>
      <c r="E20">
        <v>2019</v>
      </c>
      <c r="F20" s="14">
        <v>6.6</v>
      </c>
      <c r="G20" s="14">
        <v>5.0999999999999996</v>
      </c>
      <c r="H20" s="14">
        <v>6.3</v>
      </c>
      <c r="I20" s="14">
        <v>1.72</v>
      </c>
      <c r="J20" s="14">
        <v>6.36</v>
      </c>
      <c r="K20" s="14">
        <v>3.1</v>
      </c>
      <c r="L20" s="14">
        <v>2.54</v>
      </c>
      <c r="M20" s="14">
        <v>1.63</v>
      </c>
    </row>
    <row r="21" spans="1:13" x14ac:dyDescent="0.25">
      <c r="A21" t="s">
        <v>318</v>
      </c>
      <c r="B21" t="s">
        <v>229</v>
      </c>
      <c r="C21">
        <v>4</v>
      </c>
      <c r="D21">
        <v>3</v>
      </c>
      <c r="E21">
        <v>2000</v>
      </c>
      <c r="F21" s="14">
        <v>3.57</v>
      </c>
      <c r="G21" s="14">
        <v>6</v>
      </c>
      <c r="H21" s="14">
        <v>4.43</v>
      </c>
      <c r="I21" s="14">
        <v>5.14</v>
      </c>
      <c r="J21" s="14">
        <v>3.57</v>
      </c>
      <c r="K21" s="14">
        <v>4.1399999999999997</v>
      </c>
      <c r="L21" s="14">
        <v>5</v>
      </c>
      <c r="M21" s="14">
        <v>5</v>
      </c>
    </row>
    <row r="22" spans="1:13" x14ac:dyDescent="0.25">
      <c r="A22" t="s">
        <v>320</v>
      </c>
      <c r="B22" t="s">
        <v>229</v>
      </c>
      <c r="C22">
        <v>4</v>
      </c>
      <c r="D22">
        <v>4</v>
      </c>
      <c r="E22">
        <v>2006</v>
      </c>
      <c r="F22" s="14">
        <v>2.86</v>
      </c>
      <c r="G22" s="14">
        <v>5.57</v>
      </c>
      <c r="H22" s="14">
        <v>3.86</v>
      </c>
      <c r="I22" s="14">
        <v>4.57</v>
      </c>
      <c r="J22" s="14">
        <v>3.71</v>
      </c>
      <c r="K22" s="14">
        <v>4.43</v>
      </c>
      <c r="L22" s="14">
        <v>5</v>
      </c>
      <c r="M22" s="14">
        <v>4.8600000000000003</v>
      </c>
    </row>
    <row r="23" spans="1:13" x14ac:dyDescent="0.25">
      <c r="A23" t="s">
        <v>436</v>
      </c>
      <c r="B23" t="s">
        <v>229</v>
      </c>
      <c r="C23">
        <v>4</v>
      </c>
      <c r="D23">
        <v>5</v>
      </c>
      <c r="E23">
        <v>2010</v>
      </c>
      <c r="F23" s="14">
        <v>5.7</v>
      </c>
      <c r="G23" s="14">
        <v>5.58</v>
      </c>
      <c r="H23" s="14">
        <v>5.23</v>
      </c>
      <c r="I23" s="14">
        <v>4.54</v>
      </c>
      <c r="J23" s="14">
        <v>5.43</v>
      </c>
      <c r="K23" s="14">
        <v>5</v>
      </c>
      <c r="L23" s="14">
        <v>5</v>
      </c>
      <c r="M23" s="14">
        <v>5</v>
      </c>
    </row>
    <row r="24" spans="1:13" x14ac:dyDescent="0.25">
      <c r="A24" t="s">
        <v>435</v>
      </c>
      <c r="B24" t="s">
        <v>229</v>
      </c>
      <c r="C24">
        <v>4</v>
      </c>
      <c r="D24">
        <v>6</v>
      </c>
      <c r="E24">
        <v>2014</v>
      </c>
      <c r="F24" s="14">
        <v>2.9</v>
      </c>
      <c r="G24" s="14">
        <v>5.63</v>
      </c>
      <c r="H24" s="14">
        <v>4.18</v>
      </c>
      <c r="I24" s="14">
        <v>4</v>
      </c>
      <c r="J24" s="14">
        <v>4.18</v>
      </c>
      <c r="K24" s="14">
        <v>3.6</v>
      </c>
      <c r="L24" s="14">
        <v>3.72</v>
      </c>
      <c r="M24" s="14">
        <v>3.9</v>
      </c>
    </row>
    <row r="25" spans="1:13" x14ac:dyDescent="0.25">
      <c r="A25" t="s">
        <v>437</v>
      </c>
      <c r="B25" t="s">
        <v>229</v>
      </c>
      <c r="C25">
        <v>4</v>
      </c>
      <c r="D25">
        <v>7</v>
      </c>
      <c r="E25">
        <v>2018</v>
      </c>
      <c r="F25" s="14">
        <v>5.81</v>
      </c>
      <c r="G25" s="14">
        <v>6.63</v>
      </c>
      <c r="H25" s="14">
        <v>6.27</v>
      </c>
      <c r="I25" s="14">
        <v>4.8099999999999996</v>
      </c>
      <c r="J25" s="14">
        <v>5.54</v>
      </c>
      <c r="K25" s="14">
        <v>4.2699999999999996</v>
      </c>
      <c r="L25" s="14">
        <v>5</v>
      </c>
      <c r="M25" s="14">
        <v>4.45</v>
      </c>
    </row>
    <row r="26" spans="1:13" x14ac:dyDescent="0.25">
      <c r="A26" t="s">
        <v>330</v>
      </c>
      <c r="B26" t="s">
        <v>241</v>
      </c>
      <c r="C26">
        <v>5</v>
      </c>
      <c r="D26">
        <v>8</v>
      </c>
      <c r="E26">
        <v>2002</v>
      </c>
      <c r="F26" s="14">
        <v>6.86</v>
      </c>
      <c r="G26" s="14">
        <v>6.71</v>
      </c>
      <c r="H26" s="14">
        <v>6.71</v>
      </c>
      <c r="I26" s="14">
        <v>3</v>
      </c>
      <c r="J26" s="14">
        <v>6.71</v>
      </c>
      <c r="K26" s="14">
        <v>3.86</v>
      </c>
      <c r="L26" s="14">
        <v>3.71</v>
      </c>
      <c r="M26" s="14">
        <v>4.43</v>
      </c>
    </row>
    <row r="27" spans="1:13" x14ac:dyDescent="0.25">
      <c r="A27" t="s">
        <v>332</v>
      </c>
      <c r="B27" t="s">
        <v>241</v>
      </c>
      <c r="C27">
        <v>5</v>
      </c>
      <c r="D27">
        <v>9</v>
      </c>
      <c r="E27">
        <v>2006</v>
      </c>
      <c r="F27" s="14">
        <v>6.86</v>
      </c>
      <c r="G27" s="14">
        <v>6.71</v>
      </c>
      <c r="H27" s="14">
        <v>6.71</v>
      </c>
      <c r="I27" s="14">
        <v>2.83</v>
      </c>
      <c r="J27" s="14">
        <v>6.71</v>
      </c>
      <c r="K27" s="14">
        <v>3.86</v>
      </c>
      <c r="L27" s="14">
        <v>3.43</v>
      </c>
      <c r="M27" s="14">
        <v>4.43</v>
      </c>
    </row>
    <row r="28" spans="1:13" x14ac:dyDescent="0.25">
      <c r="A28" t="s">
        <v>438</v>
      </c>
      <c r="B28" t="s">
        <v>241</v>
      </c>
      <c r="C28">
        <v>5</v>
      </c>
      <c r="D28">
        <v>10</v>
      </c>
      <c r="E28">
        <v>2010</v>
      </c>
      <c r="F28" s="14">
        <v>4.57</v>
      </c>
      <c r="G28" s="14">
        <v>6.71</v>
      </c>
      <c r="H28" s="14">
        <v>6.14</v>
      </c>
      <c r="I28" s="14">
        <v>5.33</v>
      </c>
      <c r="J28" s="14">
        <v>6</v>
      </c>
      <c r="K28" s="14">
        <v>3.71</v>
      </c>
      <c r="L28" s="14">
        <v>5</v>
      </c>
      <c r="M28" s="14">
        <v>5</v>
      </c>
    </row>
    <row r="29" spans="1:13" x14ac:dyDescent="0.25">
      <c r="A29" t="s">
        <v>439</v>
      </c>
      <c r="B29" t="s">
        <v>241</v>
      </c>
      <c r="C29">
        <v>5</v>
      </c>
      <c r="D29">
        <v>11</v>
      </c>
      <c r="E29">
        <v>2014</v>
      </c>
      <c r="F29" s="14">
        <v>5</v>
      </c>
      <c r="G29" s="14">
        <v>5.5</v>
      </c>
      <c r="H29" s="14">
        <v>4.75</v>
      </c>
      <c r="I29" s="14">
        <v>5.66</v>
      </c>
      <c r="J29" s="14">
        <v>5</v>
      </c>
      <c r="K29" s="14">
        <v>4.25</v>
      </c>
      <c r="L29" s="14">
        <v>4.5</v>
      </c>
      <c r="M29" s="14">
        <v>5</v>
      </c>
    </row>
    <row r="30" spans="1:13" x14ac:dyDescent="0.25">
      <c r="A30" t="s">
        <v>440</v>
      </c>
      <c r="B30" t="s">
        <v>241</v>
      </c>
      <c r="C30">
        <v>5</v>
      </c>
      <c r="D30">
        <v>12</v>
      </c>
      <c r="E30">
        <v>2018</v>
      </c>
      <c r="F30" s="14">
        <v>6</v>
      </c>
      <c r="G30" s="14">
        <v>5.25</v>
      </c>
      <c r="H30" s="14">
        <v>6.75</v>
      </c>
      <c r="I30" s="14">
        <v>3</v>
      </c>
      <c r="J30" s="14">
        <v>6.25</v>
      </c>
      <c r="K30" s="14">
        <v>4.25</v>
      </c>
      <c r="L30" s="14">
        <v>4</v>
      </c>
      <c r="M30" s="14">
        <v>2.75</v>
      </c>
    </row>
    <row r="31" spans="1:13" x14ac:dyDescent="0.25">
      <c r="A31" t="s">
        <v>343</v>
      </c>
      <c r="B31" t="s">
        <v>240</v>
      </c>
      <c r="C31">
        <v>6</v>
      </c>
      <c r="D31">
        <v>7</v>
      </c>
      <c r="E31">
        <v>2002</v>
      </c>
      <c r="F31" s="14">
        <v>4.57</v>
      </c>
      <c r="G31" s="14">
        <v>5.14</v>
      </c>
      <c r="H31" s="14">
        <v>5.14</v>
      </c>
      <c r="I31" s="14">
        <v>4.43</v>
      </c>
      <c r="J31" s="14">
        <v>5.71</v>
      </c>
      <c r="K31" s="14">
        <v>3.43</v>
      </c>
      <c r="L31" s="14">
        <v>2.71</v>
      </c>
      <c r="M31" s="14">
        <v>3.57</v>
      </c>
    </row>
    <row r="32" spans="1:13" x14ac:dyDescent="0.25">
      <c r="A32" t="s">
        <v>344</v>
      </c>
      <c r="B32" t="s">
        <v>240</v>
      </c>
      <c r="C32">
        <v>6</v>
      </c>
      <c r="D32">
        <v>8</v>
      </c>
      <c r="E32">
        <v>2006</v>
      </c>
      <c r="F32" s="14">
        <v>5</v>
      </c>
      <c r="G32" s="14">
        <v>6.17</v>
      </c>
      <c r="H32" s="14">
        <v>6</v>
      </c>
      <c r="I32" s="14">
        <v>6.14</v>
      </c>
      <c r="J32" s="14">
        <v>5.57</v>
      </c>
      <c r="K32" s="14">
        <v>3.86</v>
      </c>
      <c r="L32" s="14">
        <v>4.8600000000000003</v>
      </c>
      <c r="M32" s="14">
        <v>5</v>
      </c>
    </row>
    <row r="33" spans="1:13" x14ac:dyDescent="0.25">
      <c r="A33" t="s">
        <v>345</v>
      </c>
      <c r="B33" t="s">
        <v>240</v>
      </c>
      <c r="C33">
        <v>6</v>
      </c>
      <c r="D33">
        <v>9</v>
      </c>
      <c r="E33">
        <v>2010</v>
      </c>
      <c r="F33" s="14">
        <v>5.14</v>
      </c>
      <c r="G33" s="14">
        <v>6.14</v>
      </c>
      <c r="H33" s="14">
        <v>5.43</v>
      </c>
      <c r="I33" s="14">
        <v>5</v>
      </c>
      <c r="J33" s="14">
        <v>5.43</v>
      </c>
      <c r="K33" s="14">
        <v>4.57</v>
      </c>
      <c r="L33" s="14">
        <v>4</v>
      </c>
      <c r="M33" s="14">
        <v>4.8600000000000003</v>
      </c>
    </row>
    <row r="34" spans="1:13" x14ac:dyDescent="0.25">
      <c r="A34" t="s">
        <v>441</v>
      </c>
      <c r="B34" t="s">
        <v>240</v>
      </c>
      <c r="C34">
        <v>6</v>
      </c>
      <c r="D34">
        <v>10</v>
      </c>
      <c r="E34">
        <v>2014</v>
      </c>
      <c r="F34" s="14">
        <v>3.5</v>
      </c>
      <c r="G34" s="14">
        <v>3.5</v>
      </c>
      <c r="H34" s="14">
        <v>5.5</v>
      </c>
      <c r="I34" s="14">
        <v>4</v>
      </c>
      <c r="J34" s="14">
        <v>3.5</v>
      </c>
      <c r="K34" s="14">
        <v>4.5</v>
      </c>
      <c r="L34" s="14">
        <v>4.5</v>
      </c>
      <c r="M34" s="14">
        <v>4.5</v>
      </c>
    </row>
    <row r="35" spans="1:13" x14ac:dyDescent="0.25">
      <c r="A35" t="s">
        <v>442</v>
      </c>
      <c r="B35" t="s">
        <v>240</v>
      </c>
      <c r="C35">
        <v>6</v>
      </c>
      <c r="D35">
        <v>11</v>
      </c>
      <c r="E35">
        <v>2018</v>
      </c>
      <c r="F35" s="14">
        <v>3.5</v>
      </c>
      <c r="G35" s="14">
        <v>4</v>
      </c>
      <c r="H35" s="14">
        <v>5.5</v>
      </c>
      <c r="I35" s="14">
        <v>4.5</v>
      </c>
      <c r="J35" s="14">
        <v>4</v>
      </c>
      <c r="K35" s="14">
        <v>4</v>
      </c>
      <c r="L35" s="14">
        <v>5</v>
      </c>
      <c r="M35" s="14">
        <v>4.5</v>
      </c>
    </row>
    <row r="36" spans="1:13" x14ac:dyDescent="0.25">
      <c r="A36" t="s">
        <v>358</v>
      </c>
      <c r="B36" t="s">
        <v>239</v>
      </c>
      <c r="C36">
        <v>8</v>
      </c>
      <c r="D36">
        <v>8</v>
      </c>
      <c r="E36">
        <v>2000</v>
      </c>
      <c r="F36" s="14">
        <v>6.33</v>
      </c>
      <c r="G36" s="14">
        <v>5.83</v>
      </c>
      <c r="H36" s="14">
        <v>6.17</v>
      </c>
      <c r="I36" s="14">
        <v>4.17</v>
      </c>
      <c r="J36" s="14">
        <v>5.67</v>
      </c>
      <c r="K36" s="14">
        <v>2.17</v>
      </c>
      <c r="L36" s="14">
        <v>3.17</v>
      </c>
      <c r="M36" s="14">
        <v>3.17</v>
      </c>
    </row>
    <row r="37" spans="1:13" x14ac:dyDescent="0.25">
      <c r="A37" t="s">
        <v>360</v>
      </c>
      <c r="B37" t="s">
        <v>239</v>
      </c>
      <c r="C37">
        <v>8</v>
      </c>
      <c r="D37">
        <v>9</v>
      </c>
      <c r="E37">
        <v>2003</v>
      </c>
      <c r="F37" s="14">
        <v>5.33</v>
      </c>
      <c r="G37" s="14">
        <v>5.67</v>
      </c>
      <c r="H37" s="14">
        <v>6.17</v>
      </c>
      <c r="I37" s="14">
        <v>3.83</v>
      </c>
      <c r="J37" s="14">
        <v>6.33</v>
      </c>
      <c r="K37" s="14">
        <v>2.17</v>
      </c>
      <c r="L37" s="14">
        <v>3</v>
      </c>
      <c r="M37" s="14">
        <v>3.33</v>
      </c>
    </row>
    <row r="38" spans="1:13" x14ac:dyDescent="0.25">
      <c r="A38" t="s">
        <v>362</v>
      </c>
      <c r="B38" t="s">
        <v>239</v>
      </c>
      <c r="C38">
        <v>8</v>
      </c>
      <c r="D38">
        <v>10</v>
      </c>
      <c r="E38">
        <v>2005</v>
      </c>
      <c r="F38" s="14">
        <v>4.5</v>
      </c>
      <c r="G38" s="14">
        <v>4.5</v>
      </c>
      <c r="H38" s="14">
        <v>5.33</v>
      </c>
      <c r="I38" s="14">
        <v>4</v>
      </c>
      <c r="J38" s="14">
        <v>5.33</v>
      </c>
      <c r="K38" s="14">
        <v>2.67</v>
      </c>
      <c r="L38" s="14">
        <v>3.17</v>
      </c>
      <c r="M38" s="14">
        <v>3.83</v>
      </c>
    </row>
    <row r="39" spans="1:13" x14ac:dyDescent="0.25">
      <c r="A39" t="s">
        <v>364</v>
      </c>
      <c r="B39" t="s">
        <v>239</v>
      </c>
      <c r="C39">
        <v>8</v>
      </c>
      <c r="D39">
        <v>11</v>
      </c>
      <c r="E39">
        <v>2007</v>
      </c>
      <c r="F39" s="14">
        <v>1.83</v>
      </c>
      <c r="G39" s="14">
        <v>1.83</v>
      </c>
      <c r="H39" s="14">
        <v>1.67</v>
      </c>
      <c r="I39" s="14">
        <v>1.83</v>
      </c>
      <c r="J39" s="14">
        <v>1.67</v>
      </c>
      <c r="K39" s="14">
        <v>4.67</v>
      </c>
      <c r="L39" s="14">
        <v>3.67</v>
      </c>
      <c r="M39" s="14">
        <v>3.5</v>
      </c>
    </row>
    <row r="40" spans="1:13" x14ac:dyDescent="0.25">
      <c r="A40" t="s">
        <v>365</v>
      </c>
      <c r="B40" t="s">
        <v>239</v>
      </c>
      <c r="C40">
        <v>8</v>
      </c>
      <c r="D40">
        <v>12</v>
      </c>
      <c r="E40">
        <v>2011</v>
      </c>
      <c r="F40" s="14">
        <v>2.83</v>
      </c>
      <c r="G40" s="14">
        <v>2.17</v>
      </c>
      <c r="H40" s="14">
        <v>2</v>
      </c>
      <c r="I40" s="14">
        <v>2</v>
      </c>
      <c r="J40" s="14">
        <v>1.83</v>
      </c>
      <c r="K40" s="14">
        <v>4.17</v>
      </c>
      <c r="L40" s="14">
        <v>3.5</v>
      </c>
      <c r="M40" s="14">
        <v>3.33</v>
      </c>
    </row>
    <row r="41" spans="1:13" x14ac:dyDescent="0.25">
      <c r="A41" t="s">
        <v>366</v>
      </c>
      <c r="B41" t="s">
        <v>239</v>
      </c>
      <c r="C41">
        <v>8</v>
      </c>
      <c r="D41">
        <v>13</v>
      </c>
      <c r="E41">
        <v>2013</v>
      </c>
      <c r="F41" s="14">
        <v>3</v>
      </c>
      <c r="G41" s="14">
        <v>2.71</v>
      </c>
      <c r="H41" s="14">
        <v>2.71</v>
      </c>
      <c r="I41" s="14">
        <v>2.54</v>
      </c>
      <c r="J41" s="14">
        <v>2.375</v>
      </c>
      <c r="K41" s="14">
        <v>3.625</v>
      </c>
      <c r="L41" s="14">
        <v>3.375</v>
      </c>
      <c r="M41" s="14">
        <v>3.33</v>
      </c>
    </row>
    <row r="42" spans="1:13" x14ac:dyDescent="0.25">
      <c r="A42" t="s">
        <v>443</v>
      </c>
      <c r="B42" t="s">
        <v>239</v>
      </c>
      <c r="C42">
        <v>8</v>
      </c>
      <c r="D42">
        <v>14</v>
      </c>
      <c r="E42">
        <v>2017</v>
      </c>
      <c r="F42" s="14">
        <v>6</v>
      </c>
      <c r="G42" s="14">
        <v>5.33</v>
      </c>
      <c r="H42" s="14">
        <v>6.5</v>
      </c>
      <c r="I42" s="14">
        <v>3.75</v>
      </c>
      <c r="J42" s="14">
        <v>6.5</v>
      </c>
      <c r="K42" s="14">
        <v>2.25</v>
      </c>
      <c r="L42" s="14">
        <v>2.5</v>
      </c>
      <c r="M42" s="14">
        <v>3.375</v>
      </c>
    </row>
    <row r="43" spans="1:13" x14ac:dyDescent="0.25">
      <c r="A43" t="s">
        <v>374</v>
      </c>
      <c r="B43" t="s">
        <v>370</v>
      </c>
      <c r="C43">
        <v>12</v>
      </c>
      <c r="D43">
        <v>4</v>
      </c>
      <c r="E43">
        <v>2000</v>
      </c>
      <c r="F43" s="14">
        <v>5.88</v>
      </c>
      <c r="G43" s="14">
        <v>6.5</v>
      </c>
      <c r="H43" s="14">
        <v>5.88</v>
      </c>
      <c r="I43" s="14">
        <v>3.13</v>
      </c>
      <c r="J43" s="14">
        <v>6</v>
      </c>
      <c r="K43" s="14">
        <v>2.75</v>
      </c>
      <c r="L43" s="14">
        <v>4.63</v>
      </c>
      <c r="M43" s="14">
        <v>4.38</v>
      </c>
    </row>
    <row r="44" spans="1:13" x14ac:dyDescent="0.25">
      <c r="A44" t="s">
        <v>375</v>
      </c>
      <c r="B44" t="s">
        <v>370</v>
      </c>
      <c r="C44">
        <v>12</v>
      </c>
      <c r="D44">
        <v>5</v>
      </c>
      <c r="E44">
        <v>2006</v>
      </c>
      <c r="F44" s="14">
        <v>6.13</v>
      </c>
      <c r="G44" s="14">
        <v>6.38</v>
      </c>
      <c r="H44" s="14">
        <v>5.38</v>
      </c>
      <c r="I44" s="14">
        <v>4.63</v>
      </c>
      <c r="J44" s="14">
        <v>6.13</v>
      </c>
      <c r="K44" s="14">
        <v>3</v>
      </c>
      <c r="L44" s="14">
        <v>4.63</v>
      </c>
      <c r="M44" s="14">
        <v>4.13</v>
      </c>
    </row>
    <row r="45" spans="1:13" x14ac:dyDescent="0.25">
      <c r="A45" t="s">
        <v>376</v>
      </c>
      <c r="B45" t="s">
        <v>370</v>
      </c>
      <c r="C45">
        <v>12</v>
      </c>
      <c r="D45">
        <v>6</v>
      </c>
      <c r="E45">
        <v>2013</v>
      </c>
      <c r="F45" s="14">
        <v>5.38</v>
      </c>
      <c r="G45" s="14">
        <v>5.88</v>
      </c>
      <c r="H45" s="14">
        <v>5.38</v>
      </c>
      <c r="I45" s="14">
        <v>5.5</v>
      </c>
      <c r="J45" s="14">
        <v>5.5</v>
      </c>
      <c r="K45" s="14">
        <v>3.25</v>
      </c>
      <c r="L45" s="14">
        <v>4.38</v>
      </c>
      <c r="M45" s="14">
        <v>4.63</v>
      </c>
    </row>
    <row r="46" spans="1:13" x14ac:dyDescent="0.25">
      <c r="A46" t="s">
        <v>444</v>
      </c>
      <c r="B46" t="s">
        <v>370</v>
      </c>
      <c r="C46">
        <v>12</v>
      </c>
      <c r="D46">
        <v>7</v>
      </c>
      <c r="E46">
        <v>2019</v>
      </c>
      <c r="F46" s="14">
        <v>3.5</v>
      </c>
      <c r="G46" s="14">
        <v>3.87</v>
      </c>
      <c r="H46" s="14">
        <v>4.12</v>
      </c>
      <c r="I46" s="14">
        <v>3.62</v>
      </c>
      <c r="J46" s="14">
        <v>4</v>
      </c>
      <c r="K46" s="14">
        <v>3.37</v>
      </c>
      <c r="L46" s="14">
        <v>2.5</v>
      </c>
      <c r="M46" s="14">
        <v>1.75</v>
      </c>
    </row>
    <row r="47" spans="1:13" x14ac:dyDescent="0.25">
      <c r="A47" t="s">
        <v>381</v>
      </c>
      <c r="B47" t="s">
        <v>230</v>
      </c>
      <c r="C47">
        <v>15</v>
      </c>
      <c r="D47">
        <v>4</v>
      </c>
      <c r="E47">
        <v>2003</v>
      </c>
      <c r="F47" s="14">
        <v>3.8</v>
      </c>
      <c r="G47" s="14">
        <v>4.2</v>
      </c>
      <c r="H47" s="14">
        <v>3.2</v>
      </c>
      <c r="I47" s="14">
        <v>4.2</v>
      </c>
      <c r="J47" s="14">
        <v>3.8</v>
      </c>
      <c r="K47" s="14">
        <v>3.6</v>
      </c>
      <c r="L47" s="14">
        <v>4.4000000000000004</v>
      </c>
      <c r="M47" s="14">
        <v>4</v>
      </c>
    </row>
    <row r="48" spans="1:13" x14ac:dyDescent="0.25">
      <c r="A48" t="s">
        <v>382</v>
      </c>
      <c r="B48" t="s">
        <v>230</v>
      </c>
      <c r="C48">
        <v>15</v>
      </c>
      <c r="D48">
        <v>5</v>
      </c>
      <c r="E48">
        <v>2008</v>
      </c>
      <c r="F48" s="14">
        <v>2.6</v>
      </c>
      <c r="G48" s="14">
        <v>4</v>
      </c>
      <c r="H48" s="14">
        <v>2.6</v>
      </c>
      <c r="I48" s="14">
        <v>3.4</v>
      </c>
      <c r="J48" s="14">
        <v>3.2</v>
      </c>
      <c r="K48" s="14">
        <v>3.8</v>
      </c>
      <c r="L48" s="14">
        <v>4.4000000000000004</v>
      </c>
      <c r="M48" s="14">
        <v>4</v>
      </c>
    </row>
    <row r="49" spans="1:13" x14ac:dyDescent="0.25">
      <c r="A49" t="s">
        <v>384</v>
      </c>
      <c r="B49" t="s">
        <v>230</v>
      </c>
      <c r="C49">
        <v>15</v>
      </c>
      <c r="D49">
        <v>6</v>
      </c>
      <c r="E49">
        <v>2013</v>
      </c>
      <c r="F49" s="14">
        <v>6.1999999999999993</v>
      </c>
      <c r="G49" s="14">
        <v>5.3</v>
      </c>
      <c r="H49" s="14">
        <v>4.8000000000000007</v>
      </c>
      <c r="I49" s="14">
        <v>4.5999999999999996</v>
      </c>
      <c r="J49" s="14">
        <v>5.8000000000000007</v>
      </c>
      <c r="K49" s="14">
        <v>2.7</v>
      </c>
      <c r="L49" s="14">
        <v>4.3</v>
      </c>
      <c r="M49" s="14">
        <v>4.5999999999999996</v>
      </c>
    </row>
    <row r="50" spans="1:13" x14ac:dyDescent="0.25">
      <c r="A50" t="s">
        <v>445</v>
      </c>
      <c r="B50" t="s">
        <v>230</v>
      </c>
      <c r="C50">
        <v>15</v>
      </c>
      <c r="D50">
        <v>7</v>
      </c>
      <c r="E50">
        <v>2018</v>
      </c>
      <c r="F50" s="14">
        <v>6.6</v>
      </c>
      <c r="G50" s="14">
        <v>5.4</v>
      </c>
      <c r="H50" s="14">
        <v>4.5999999999999996</v>
      </c>
      <c r="I50" s="14">
        <v>4.8</v>
      </c>
      <c r="J50" s="14">
        <v>6</v>
      </c>
      <c r="K50" s="14">
        <v>3.4</v>
      </c>
      <c r="L50" s="14">
        <v>3.6</v>
      </c>
      <c r="M50" s="14">
        <v>4</v>
      </c>
    </row>
    <row r="51" spans="1:13" x14ac:dyDescent="0.25">
      <c r="A51" t="s">
        <v>395</v>
      </c>
      <c r="B51" t="s">
        <v>386</v>
      </c>
      <c r="C51">
        <v>16</v>
      </c>
      <c r="D51">
        <v>6</v>
      </c>
      <c r="E51">
        <v>2001</v>
      </c>
      <c r="F51" s="14">
        <v>4.67</v>
      </c>
      <c r="G51" s="14">
        <v>5.89</v>
      </c>
      <c r="H51" s="14">
        <v>5.22</v>
      </c>
      <c r="I51" s="14">
        <v>5</v>
      </c>
      <c r="J51" s="14">
        <v>5.67</v>
      </c>
      <c r="K51" s="14">
        <v>3.44</v>
      </c>
      <c r="L51" s="14">
        <v>4.22</v>
      </c>
      <c r="M51" s="14">
        <v>4.67</v>
      </c>
    </row>
    <row r="52" spans="1:13" x14ac:dyDescent="0.25">
      <c r="A52" t="s">
        <v>396</v>
      </c>
      <c r="B52" t="s">
        <v>386</v>
      </c>
      <c r="C52">
        <v>16</v>
      </c>
      <c r="D52">
        <v>7</v>
      </c>
      <c r="E52">
        <v>2006</v>
      </c>
      <c r="F52" s="14">
        <v>5.67</v>
      </c>
      <c r="G52" s="14">
        <v>6.11</v>
      </c>
      <c r="H52" s="14">
        <v>5.56</v>
      </c>
      <c r="I52" s="14">
        <v>5</v>
      </c>
      <c r="J52" s="14">
        <v>5.67</v>
      </c>
      <c r="K52" s="14">
        <v>3.89</v>
      </c>
      <c r="L52" s="14">
        <v>4.4400000000000004</v>
      </c>
      <c r="M52" s="14">
        <v>4.5599999999999996</v>
      </c>
    </row>
    <row r="53" spans="1:13" x14ac:dyDescent="0.25">
      <c r="A53" t="s">
        <v>397</v>
      </c>
      <c r="B53" t="s">
        <v>386</v>
      </c>
      <c r="C53">
        <v>16</v>
      </c>
      <c r="D53">
        <v>8</v>
      </c>
      <c r="E53">
        <v>2011</v>
      </c>
      <c r="F53" s="14">
        <v>4.5599999999999996</v>
      </c>
      <c r="G53" s="14">
        <v>5.67</v>
      </c>
      <c r="H53" s="14">
        <v>4.4400000000000004</v>
      </c>
      <c r="I53" s="14">
        <v>4.78</v>
      </c>
      <c r="J53" s="14">
        <v>4.78</v>
      </c>
      <c r="K53" s="14">
        <v>4</v>
      </c>
      <c r="L53" s="14">
        <v>4</v>
      </c>
      <c r="M53" s="14">
        <v>4.1100000000000003</v>
      </c>
    </row>
    <row r="54" spans="1:13" x14ac:dyDescent="0.25">
      <c r="A54" t="s">
        <v>446</v>
      </c>
      <c r="B54" t="s">
        <v>386</v>
      </c>
      <c r="C54">
        <v>16</v>
      </c>
      <c r="D54">
        <v>9</v>
      </c>
      <c r="E54">
        <v>2016</v>
      </c>
      <c r="F54" s="14">
        <v>6.4</v>
      </c>
      <c r="G54" s="14">
        <v>6</v>
      </c>
      <c r="H54" s="14">
        <v>6.5</v>
      </c>
      <c r="I54" s="14">
        <v>5.5</v>
      </c>
      <c r="J54" s="14">
        <v>5.5</v>
      </c>
      <c r="K54" s="14">
        <v>3</v>
      </c>
      <c r="L54" s="14">
        <v>4</v>
      </c>
      <c r="M54" s="14">
        <v>4.5</v>
      </c>
    </row>
    <row r="55" spans="1:13" x14ac:dyDescent="0.25">
      <c r="A55" t="s">
        <v>447</v>
      </c>
      <c r="B55" t="s">
        <v>386</v>
      </c>
      <c r="C55">
        <v>16</v>
      </c>
      <c r="D55">
        <v>10</v>
      </c>
      <c r="E55">
        <v>2018</v>
      </c>
      <c r="F55" s="14">
        <v>4.5</v>
      </c>
      <c r="G55" s="14">
        <v>5.5</v>
      </c>
      <c r="H55" s="14">
        <v>4.5</v>
      </c>
      <c r="I55" s="14">
        <v>4</v>
      </c>
      <c r="J55" s="14">
        <v>4</v>
      </c>
      <c r="K55" s="14">
        <v>3.5</v>
      </c>
      <c r="L55" s="14">
        <v>3.5</v>
      </c>
      <c r="M55" s="14">
        <v>3</v>
      </c>
    </row>
    <row r="56" spans="1:13" x14ac:dyDescent="0.25">
      <c r="A56" t="s">
        <v>448</v>
      </c>
      <c r="B56" t="s">
        <v>386</v>
      </c>
      <c r="C56">
        <v>16</v>
      </c>
      <c r="D56">
        <v>11</v>
      </c>
      <c r="E56">
        <v>2020</v>
      </c>
      <c r="F56" s="14">
        <v>4.5</v>
      </c>
      <c r="G56" s="14">
        <v>5.5</v>
      </c>
      <c r="H56" s="14">
        <v>4.5</v>
      </c>
      <c r="I56" s="14">
        <v>4</v>
      </c>
      <c r="J56" s="14">
        <v>4</v>
      </c>
      <c r="K56" s="14">
        <v>3</v>
      </c>
      <c r="L56" s="14">
        <v>3.5</v>
      </c>
      <c r="M56" s="14">
        <v>3</v>
      </c>
    </row>
    <row r="57" spans="1:13" x14ac:dyDescent="0.25">
      <c r="A57" t="s">
        <v>404</v>
      </c>
      <c r="B57" t="s">
        <v>232</v>
      </c>
      <c r="C57">
        <v>18</v>
      </c>
      <c r="D57">
        <v>4</v>
      </c>
      <c r="E57">
        <v>2000</v>
      </c>
      <c r="F57" s="14">
        <v>5.45</v>
      </c>
      <c r="G57" s="14">
        <v>5.27</v>
      </c>
      <c r="H57" s="14">
        <v>5.82</v>
      </c>
      <c r="I57" s="14">
        <v>3.64</v>
      </c>
      <c r="J57" s="14">
        <v>6</v>
      </c>
      <c r="K57" s="14">
        <v>2.91</v>
      </c>
      <c r="L57" s="14">
        <v>3.91</v>
      </c>
      <c r="M57" s="14">
        <v>4.45</v>
      </c>
    </row>
    <row r="58" spans="1:13" x14ac:dyDescent="0.25">
      <c r="A58" t="s">
        <v>405</v>
      </c>
      <c r="B58" t="s">
        <v>232</v>
      </c>
      <c r="C58">
        <v>18</v>
      </c>
      <c r="D58">
        <v>5</v>
      </c>
      <c r="E58">
        <v>2005</v>
      </c>
      <c r="F58" s="14">
        <v>3</v>
      </c>
      <c r="G58" s="14">
        <v>3.64</v>
      </c>
      <c r="H58" s="14">
        <v>3.36</v>
      </c>
      <c r="I58" s="14">
        <v>3.36</v>
      </c>
      <c r="J58" s="14">
        <v>3.45</v>
      </c>
      <c r="K58" s="14">
        <v>3.73</v>
      </c>
      <c r="L58" s="14">
        <v>4.3600000000000003</v>
      </c>
      <c r="M58" s="14">
        <v>4.55</v>
      </c>
    </row>
    <row r="59" spans="1:13" x14ac:dyDescent="0.25">
      <c r="A59" t="s">
        <v>407</v>
      </c>
      <c r="B59" t="s">
        <v>232</v>
      </c>
      <c r="C59">
        <v>18</v>
      </c>
      <c r="D59">
        <v>6</v>
      </c>
      <c r="E59">
        <v>2010</v>
      </c>
      <c r="F59" s="14">
        <v>2.5</v>
      </c>
      <c r="G59" s="14">
        <v>3.18</v>
      </c>
      <c r="H59" s="14">
        <v>2.36</v>
      </c>
      <c r="I59" s="14">
        <v>2.91</v>
      </c>
      <c r="J59" s="14">
        <v>2.36</v>
      </c>
      <c r="K59" s="14">
        <v>3.36</v>
      </c>
      <c r="L59" s="14">
        <v>3.91</v>
      </c>
      <c r="M59" s="14">
        <v>4.09</v>
      </c>
    </row>
    <row r="60" spans="1:13" x14ac:dyDescent="0.25">
      <c r="A60" t="s">
        <v>449</v>
      </c>
      <c r="B60" t="s">
        <v>232</v>
      </c>
      <c r="C60">
        <v>18</v>
      </c>
      <c r="D60">
        <v>7</v>
      </c>
      <c r="E60">
        <v>2015</v>
      </c>
      <c r="F60" s="14">
        <v>2.83</v>
      </c>
      <c r="G60" s="14">
        <v>4.16</v>
      </c>
      <c r="H60" s="14">
        <v>3.66</v>
      </c>
      <c r="I60" s="14">
        <v>3.66</v>
      </c>
      <c r="J60" s="14">
        <v>3.16</v>
      </c>
      <c r="K60" s="14">
        <v>4</v>
      </c>
      <c r="L60" s="14">
        <v>4.66</v>
      </c>
      <c r="M60" s="14">
        <v>4.5</v>
      </c>
    </row>
    <row r="61" spans="1:13" x14ac:dyDescent="0.25">
      <c r="A61" t="s">
        <v>450</v>
      </c>
      <c r="B61" t="s">
        <v>232</v>
      </c>
      <c r="C61">
        <v>18</v>
      </c>
      <c r="D61">
        <v>8</v>
      </c>
      <c r="E61">
        <v>2020</v>
      </c>
      <c r="F61" s="14">
        <v>5.83</v>
      </c>
      <c r="G61" s="14">
        <v>6.5</v>
      </c>
      <c r="H61" s="14">
        <v>6.5</v>
      </c>
      <c r="I61" s="14">
        <v>2.83</v>
      </c>
      <c r="J61" s="14">
        <v>6.33</v>
      </c>
      <c r="K61" s="14">
        <v>4</v>
      </c>
      <c r="L61" s="14">
        <v>5</v>
      </c>
      <c r="M61" s="14">
        <v>5</v>
      </c>
    </row>
    <row r="62" spans="1:13" x14ac:dyDescent="0.25">
      <c r="A62" t="s">
        <v>417</v>
      </c>
      <c r="B62" t="s">
        <v>233</v>
      </c>
      <c r="C62">
        <v>19</v>
      </c>
      <c r="D62">
        <v>6</v>
      </c>
      <c r="E62">
        <v>2003</v>
      </c>
      <c r="F62" s="14">
        <v>1.63</v>
      </c>
      <c r="G62" s="14">
        <v>1.75</v>
      </c>
      <c r="H62" s="14">
        <v>1.88</v>
      </c>
      <c r="I62" s="14">
        <v>1.63</v>
      </c>
      <c r="J62" s="14">
        <v>1.63</v>
      </c>
      <c r="K62" s="14">
        <v>3.5</v>
      </c>
      <c r="L62" s="14">
        <v>5</v>
      </c>
      <c r="M62" s="14">
        <v>3.5</v>
      </c>
    </row>
    <row r="63" spans="1:13" x14ac:dyDescent="0.25">
      <c r="A63" t="s">
        <v>418</v>
      </c>
      <c r="B63" t="s">
        <v>233</v>
      </c>
      <c r="C63">
        <v>19</v>
      </c>
      <c r="D63">
        <v>7</v>
      </c>
      <c r="E63">
        <v>2008</v>
      </c>
      <c r="F63" s="14">
        <v>1.25</v>
      </c>
      <c r="G63" s="14">
        <v>1.75</v>
      </c>
      <c r="H63" s="14">
        <v>1.5</v>
      </c>
      <c r="I63" s="14">
        <v>1.25</v>
      </c>
      <c r="J63" s="14">
        <v>1.5</v>
      </c>
      <c r="K63" s="14">
        <v>3.38</v>
      </c>
      <c r="L63" s="14">
        <v>5</v>
      </c>
      <c r="M63" s="14">
        <v>3.38</v>
      </c>
    </row>
    <row r="64" spans="1:13" x14ac:dyDescent="0.25">
      <c r="A64" t="s">
        <v>452</v>
      </c>
      <c r="B64" t="s">
        <v>233</v>
      </c>
      <c r="C64">
        <v>19</v>
      </c>
      <c r="D64">
        <v>8</v>
      </c>
      <c r="E64">
        <v>2013</v>
      </c>
      <c r="F64" s="14">
        <v>2.44</v>
      </c>
      <c r="G64" s="14">
        <v>2.625</v>
      </c>
      <c r="H64" s="14">
        <v>2.5</v>
      </c>
      <c r="I64" s="14">
        <v>2.3149999999999999</v>
      </c>
      <c r="J64" s="14">
        <v>1.5</v>
      </c>
      <c r="K64" s="14">
        <v>3.25</v>
      </c>
      <c r="L64" s="14">
        <v>4.125</v>
      </c>
      <c r="M64" s="14">
        <v>3.3149999999999999</v>
      </c>
    </row>
    <row r="65" spans="1:13" x14ac:dyDescent="0.25">
      <c r="A65" t="s">
        <v>451</v>
      </c>
      <c r="B65" t="s">
        <v>233</v>
      </c>
      <c r="C65">
        <v>19</v>
      </c>
      <c r="D65">
        <v>9</v>
      </c>
      <c r="E65">
        <v>2019</v>
      </c>
      <c r="F65" s="14">
        <v>4.5</v>
      </c>
      <c r="G65" s="14">
        <v>3.5</v>
      </c>
      <c r="H65" s="14">
        <v>3</v>
      </c>
      <c r="I65" s="14">
        <v>4</v>
      </c>
      <c r="J65" s="14">
        <v>2.5</v>
      </c>
      <c r="K65" s="14">
        <v>3</v>
      </c>
      <c r="L65" s="14">
        <v>4.5</v>
      </c>
      <c r="M65" s="14">
        <v>4</v>
      </c>
    </row>
  </sheetData>
  <autoFilter ref="A1:N65" xr:uid="{48B81F87-21A8-44E7-AAB8-9FA1C5B90D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Respuestas de formulario 1</vt:lpstr>
      <vt:lpstr>Expertos</vt:lpstr>
      <vt:lpstr>Hoja2</vt:lpstr>
      <vt:lpstr>Hoja1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Alejo Romano</cp:lastModifiedBy>
  <dcterms:modified xsi:type="dcterms:W3CDTF">2026-08-28T15:39:43Z</dcterms:modified>
</cp:coreProperties>
</file>